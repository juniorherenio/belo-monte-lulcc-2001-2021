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TRABALHO DE MESTRADO (SERVIÇO)\DADOS MAPBIOMAS\"/>
    </mc:Choice>
  </mc:AlternateContent>
  <xr:revisionPtr revIDLastSave="0" documentId="8_{1BF8776C-0A79-4569-B288-D2C74F27AA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ition_matrix2001-2006" sheetId="2" r:id="rId1"/>
    <sheet name="transition_matrix2006-2011" sheetId="5" r:id="rId2"/>
    <sheet name="transition_matrix2011-2016" sheetId="6" r:id="rId3"/>
    <sheet name="transition_matrix2016-2021" sheetId="7" r:id="rId4"/>
    <sheet name="transition_matrix2021-2022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8" l="1"/>
  <c r="F16" i="8"/>
  <c r="G16" i="8"/>
  <c r="H16" i="8"/>
  <c r="I16" i="8"/>
  <c r="J16" i="8"/>
  <c r="K16" i="8"/>
  <c r="M16" i="8"/>
  <c r="E17" i="8"/>
  <c r="F17" i="8"/>
  <c r="G17" i="8"/>
  <c r="H17" i="8"/>
  <c r="I17" i="8"/>
  <c r="J17" i="8"/>
  <c r="K17" i="8"/>
  <c r="M17" i="8"/>
  <c r="E18" i="8"/>
  <c r="F18" i="8"/>
  <c r="G18" i="8"/>
  <c r="H18" i="8"/>
  <c r="I18" i="8"/>
  <c r="J18" i="8"/>
  <c r="K18" i="8"/>
  <c r="M18" i="8"/>
  <c r="E19" i="8"/>
  <c r="F19" i="8"/>
  <c r="G19" i="8"/>
  <c r="H19" i="8"/>
  <c r="I19" i="8"/>
  <c r="J19" i="8"/>
  <c r="K19" i="8"/>
  <c r="M19" i="8"/>
  <c r="E20" i="8"/>
  <c r="F20" i="8"/>
  <c r="G20" i="8"/>
  <c r="H20" i="8"/>
  <c r="I20" i="8"/>
  <c r="J20" i="8"/>
  <c r="K20" i="8"/>
  <c r="M20" i="8"/>
  <c r="E21" i="8"/>
  <c r="F21" i="8"/>
  <c r="G21" i="8"/>
  <c r="H21" i="8"/>
  <c r="I21" i="8"/>
  <c r="J21" i="8"/>
  <c r="K21" i="8"/>
  <c r="M21" i="8"/>
  <c r="E22" i="8"/>
  <c r="F22" i="8"/>
  <c r="G22" i="8"/>
  <c r="H22" i="8"/>
  <c r="I22" i="8"/>
  <c r="J22" i="8"/>
  <c r="K22" i="8"/>
  <c r="M22" i="8"/>
  <c r="E23" i="8"/>
  <c r="F23" i="8"/>
  <c r="G23" i="8"/>
  <c r="H23" i="8"/>
  <c r="I23" i="8"/>
  <c r="J23" i="8"/>
  <c r="K23" i="8"/>
  <c r="M23" i="8"/>
  <c r="D17" i="8"/>
  <c r="D18" i="8"/>
  <c r="D19" i="8"/>
  <c r="D20" i="8"/>
  <c r="D21" i="8"/>
  <c r="D22" i="8"/>
  <c r="D23" i="8"/>
  <c r="D16" i="8"/>
  <c r="E16" i="7"/>
  <c r="F16" i="7"/>
  <c r="G16" i="7"/>
  <c r="H16" i="7"/>
  <c r="I16" i="7"/>
  <c r="J16" i="7"/>
  <c r="K16" i="7"/>
  <c r="E17" i="7"/>
  <c r="F17" i="7"/>
  <c r="G17" i="7"/>
  <c r="H17" i="7"/>
  <c r="I17" i="7"/>
  <c r="J17" i="7"/>
  <c r="K17" i="7"/>
  <c r="E18" i="7"/>
  <c r="F18" i="7"/>
  <c r="G18" i="7"/>
  <c r="H18" i="7"/>
  <c r="I18" i="7"/>
  <c r="J18" i="7"/>
  <c r="K18" i="7"/>
  <c r="E19" i="7"/>
  <c r="F19" i="7"/>
  <c r="G19" i="7"/>
  <c r="H19" i="7"/>
  <c r="I19" i="7"/>
  <c r="J19" i="7"/>
  <c r="K19" i="7"/>
  <c r="E20" i="7"/>
  <c r="F20" i="7"/>
  <c r="G20" i="7"/>
  <c r="H20" i="7"/>
  <c r="I20" i="7"/>
  <c r="J20" i="7"/>
  <c r="K20" i="7"/>
  <c r="E21" i="7"/>
  <c r="F21" i="7"/>
  <c r="G21" i="7"/>
  <c r="H21" i="7"/>
  <c r="I21" i="7"/>
  <c r="J21" i="7"/>
  <c r="K21" i="7"/>
  <c r="E22" i="7"/>
  <c r="F22" i="7"/>
  <c r="G22" i="7"/>
  <c r="H22" i="7"/>
  <c r="I22" i="7"/>
  <c r="J22" i="7"/>
  <c r="K22" i="7"/>
  <c r="E23" i="7"/>
  <c r="F23" i="7"/>
  <c r="G23" i="7"/>
  <c r="H23" i="7"/>
  <c r="I23" i="7"/>
  <c r="J23" i="7"/>
  <c r="K23" i="7"/>
  <c r="D17" i="7"/>
  <c r="D18" i="7"/>
  <c r="D19" i="7"/>
  <c r="D20" i="7"/>
  <c r="D21" i="7"/>
  <c r="D22" i="7"/>
  <c r="D23" i="7"/>
  <c r="D16" i="7"/>
  <c r="K17" i="5"/>
  <c r="K18" i="5"/>
  <c r="K19" i="5"/>
  <c r="K20" i="5"/>
  <c r="K21" i="5"/>
  <c r="K22" i="5"/>
  <c r="K23" i="5"/>
  <c r="K16" i="5"/>
  <c r="D16" i="2"/>
  <c r="J16" i="5"/>
  <c r="L12" i="8"/>
  <c r="M12" i="8"/>
  <c r="N4" i="8"/>
  <c r="N11" i="8"/>
  <c r="N10" i="8"/>
  <c r="N9" i="8"/>
  <c r="N8" i="8"/>
  <c r="N7" i="8"/>
  <c r="N6" i="8"/>
  <c r="N5" i="8"/>
  <c r="D12" i="8"/>
  <c r="E12" i="8"/>
  <c r="F12" i="8"/>
  <c r="G12" i="8"/>
  <c r="H12" i="8"/>
  <c r="I12" i="8"/>
  <c r="J12" i="8"/>
  <c r="K12" i="8"/>
  <c r="L4" i="7"/>
  <c r="L5" i="7"/>
  <c r="L6" i="7"/>
  <c r="L7" i="7"/>
  <c r="L8" i="7"/>
  <c r="L9" i="7"/>
  <c r="L10" i="7"/>
  <c r="L11" i="7"/>
  <c r="E12" i="7"/>
  <c r="F12" i="7"/>
  <c r="G12" i="7"/>
  <c r="H12" i="7"/>
  <c r="I12" i="7"/>
  <c r="J12" i="7"/>
  <c r="K12" i="7"/>
  <c r="D12" i="7"/>
  <c r="D17" i="6"/>
  <c r="E17" i="6"/>
  <c r="F17" i="6"/>
  <c r="G17" i="6"/>
  <c r="H17" i="6"/>
  <c r="I17" i="6"/>
  <c r="J17" i="6"/>
  <c r="K17" i="6"/>
  <c r="D18" i="6"/>
  <c r="E18" i="6"/>
  <c r="F18" i="6"/>
  <c r="G18" i="6"/>
  <c r="H18" i="6"/>
  <c r="I18" i="6"/>
  <c r="J18" i="6"/>
  <c r="K18" i="6"/>
  <c r="D19" i="6"/>
  <c r="E19" i="6"/>
  <c r="F19" i="6"/>
  <c r="G19" i="6"/>
  <c r="H19" i="6"/>
  <c r="I19" i="6"/>
  <c r="J19" i="6"/>
  <c r="K19" i="6"/>
  <c r="D20" i="6"/>
  <c r="E20" i="6"/>
  <c r="F20" i="6"/>
  <c r="G20" i="6"/>
  <c r="H20" i="6"/>
  <c r="I20" i="6"/>
  <c r="J20" i="6"/>
  <c r="K20" i="6"/>
  <c r="D21" i="6"/>
  <c r="E21" i="6"/>
  <c r="F21" i="6"/>
  <c r="G21" i="6"/>
  <c r="H21" i="6"/>
  <c r="I21" i="6"/>
  <c r="J21" i="6"/>
  <c r="K21" i="6"/>
  <c r="D22" i="6"/>
  <c r="E22" i="6"/>
  <c r="F22" i="6"/>
  <c r="G22" i="6"/>
  <c r="H22" i="6"/>
  <c r="I22" i="6"/>
  <c r="J22" i="6"/>
  <c r="K22" i="6"/>
  <c r="D23" i="6"/>
  <c r="E23" i="6"/>
  <c r="F23" i="6"/>
  <c r="G23" i="6"/>
  <c r="H23" i="6"/>
  <c r="I23" i="6"/>
  <c r="J23" i="6"/>
  <c r="K23" i="6"/>
  <c r="E16" i="6"/>
  <c r="F16" i="6"/>
  <c r="G16" i="6"/>
  <c r="H16" i="6"/>
  <c r="I16" i="6"/>
  <c r="J16" i="6"/>
  <c r="K16" i="6"/>
  <c r="D16" i="6"/>
  <c r="E12" i="6"/>
  <c r="F12" i="6"/>
  <c r="G12" i="6"/>
  <c r="H12" i="6"/>
  <c r="I12" i="6"/>
  <c r="J12" i="6"/>
  <c r="K12" i="6"/>
  <c r="L4" i="6"/>
  <c r="L5" i="6"/>
  <c r="L6" i="6"/>
  <c r="L7" i="6"/>
  <c r="L8" i="6"/>
  <c r="L9" i="6"/>
  <c r="L10" i="6"/>
  <c r="L11" i="6"/>
  <c r="D12" i="6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E16" i="5"/>
  <c r="F16" i="5"/>
  <c r="G16" i="5"/>
  <c r="H16" i="5"/>
  <c r="I16" i="5"/>
  <c r="D16" i="5"/>
  <c r="E12" i="5"/>
  <c r="F12" i="5"/>
  <c r="G12" i="5"/>
  <c r="H12" i="5"/>
  <c r="I12" i="5"/>
  <c r="J12" i="5"/>
  <c r="K12" i="5"/>
  <c r="D12" i="5"/>
  <c r="L4" i="5"/>
  <c r="L5" i="5"/>
  <c r="L6" i="5"/>
  <c r="L7" i="5"/>
  <c r="L8" i="5"/>
  <c r="L9" i="5"/>
  <c r="L10" i="5"/>
  <c r="L11" i="5"/>
  <c r="K20" i="2"/>
  <c r="J22" i="2"/>
  <c r="K22" i="2"/>
  <c r="J23" i="2"/>
  <c r="J17" i="2"/>
  <c r="K17" i="2"/>
  <c r="J18" i="2"/>
  <c r="K18" i="2"/>
  <c r="D19" i="2"/>
  <c r="E19" i="2"/>
  <c r="F19" i="2"/>
  <c r="H19" i="2"/>
  <c r="I19" i="2"/>
  <c r="J19" i="2"/>
  <c r="K19" i="2"/>
  <c r="F20" i="2"/>
  <c r="H20" i="2"/>
  <c r="F21" i="2"/>
  <c r="J21" i="2"/>
  <c r="K21" i="2"/>
  <c r="D23" i="2"/>
  <c r="F23" i="2"/>
  <c r="K23" i="2"/>
  <c r="D18" i="2"/>
  <c r="F16" i="2"/>
  <c r="G16" i="2"/>
  <c r="I22" i="2"/>
  <c r="J20" i="2"/>
  <c r="H16" i="2"/>
  <c r="J16" i="2"/>
  <c r="K16" i="2"/>
  <c r="H21" i="2" l="1"/>
  <c r="E20" i="2"/>
  <c r="H17" i="2"/>
  <c r="I20" i="2"/>
  <c r="I18" i="2"/>
  <c r="F17" i="2"/>
  <c r="I21" i="2"/>
  <c r="G17" i="2"/>
  <c r="H22" i="2"/>
  <c r="H18" i="2"/>
  <c r="E17" i="2"/>
  <c r="E23" i="2"/>
  <c r="D17" i="2"/>
  <c r="I16" i="2"/>
  <c r="I23" i="2"/>
  <c r="G20" i="2"/>
  <c r="H23" i="2"/>
  <c r="E22" i="2"/>
  <c r="I17" i="2"/>
  <c r="D20" i="2"/>
  <c r="G23" i="2"/>
  <c r="D22" i="2"/>
  <c r="G18" i="2"/>
  <c r="F18" i="2"/>
  <c r="E16" i="2"/>
  <c r="D21" i="2"/>
  <c r="G19" i="2"/>
  <c r="F22" i="2"/>
  <c r="E18" i="2"/>
  <c r="E21" i="2"/>
  <c r="G22" i="2"/>
  <c r="G21" i="2"/>
</calcChain>
</file>

<file path=xl/sharedStrings.xml><?xml version="1.0" encoding="utf-8"?>
<sst xmlns="http://schemas.openxmlformats.org/spreadsheetml/2006/main" count="184" uniqueCount="19">
  <si>
    <t>SOMA (2001)</t>
  </si>
  <si>
    <t>Lavoura Temporária</t>
  </si>
  <si>
    <t>Água</t>
  </si>
  <si>
    <t>Área Urbana</t>
  </si>
  <si>
    <t>Pastagem</t>
  </si>
  <si>
    <t>Campo Natural</t>
  </si>
  <si>
    <t>Campo Alagado</t>
  </si>
  <si>
    <t>Várzea</t>
  </si>
  <si>
    <t>Floresta</t>
  </si>
  <si>
    <t>SOMA (2006)</t>
  </si>
  <si>
    <t>Classe</t>
  </si>
  <si>
    <t xml:space="preserve"> </t>
  </si>
  <si>
    <t>Soja</t>
  </si>
  <si>
    <t>Formação Savanica</t>
  </si>
  <si>
    <t>Coluna1</t>
  </si>
  <si>
    <t>SOMA (2011)</t>
  </si>
  <si>
    <t>SOMA (2016)</t>
  </si>
  <si>
    <t>SOMA (2021)</t>
  </si>
  <si>
    <t>SOMA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</si>
</sst>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0" xfId="0" applyFont="1" applyBorder="1"/>
    <xf numFmtId="10" fontId="0" fillId="0" borderId="10" xfId="0" applyNumberFormat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0" borderId="20" xfId="0" applyFont="1" applyBorder="1"/>
    <xf numFmtId="0" fontId="16" fillId="0" borderId="17" xfId="0" applyFont="1" applyBorder="1"/>
    <xf numFmtId="0" fontId="16" fillId="0" borderId="13" xfId="0" applyFont="1" applyBorder="1"/>
    <xf numFmtId="0" fontId="0" fillId="33" borderId="14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textRotation="90"/>
    </xf>
    <xf numFmtId="0" fontId="0" fillId="33" borderId="15" xfId="0" applyFill="1" applyBorder="1" applyAlignment="1">
      <alignment horizontal="center" vertical="center" textRotation="90"/>
    </xf>
    <xf numFmtId="0" fontId="0" fillId="33" borderId="16" xfId="0" applyFill="1" applyBorder="1" applyAlignment="1">
      <alignment horizontal="center" vertical="center" textRotation="90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textRotation="90"/>
    </xf>
    <xf numFmtId="0" fontId="0" fillId="33" borderId="13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 textRotation="9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3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796A10-B7E6-40A4-BC12-C0F71C037CBF}" name="Tabela3" displayName="Tabela3" ref="C3:L12" totalsRowShown="0" headerRowDxfId="130" tableBorderDxfId="129">
  <autoFilter ref="C3:L12" xr:uid="{B1796A10-B7E6-40A4-BC12-C0F71C037CBF}"/>
  <tableColumns count="10">
    <tableColumn id="1" xr3:uid="{81157A95-E2B1-4BE3-BE36-9AA823571A28}" name="Classe" dataDxfId="128"/>
    <tableColumn id="2" xr3:uid="{0B0F5DDB-E581-436B-866E-84394B01EFEC}" name=" "/>
    <tableColumn id="3" xr3:uid="{440C57A5-019A-4065-829C-B8678A3F2C38}" name="Várzea"/>
    <tableColumn id="4" xr3:uid="{17E66285-E73B-40B1-8B14-7EC6DBE1632B}" name="Campo Alagado"/>
    <tableColumn id="5" xr3:uid="{B158DDDE-A75B-47E1-8B3C-951FAFDE06BF}" name="Campo Natural"/>
    <tableColumn id="6" xr3:uid="{566543A4-A57F-4AF4-9D43-334D55374337}" name="Pastagem"/>
    <tableColumn id="7" xr3:uid="{3904FF83-0F15-4286-90F1-BADAF0E018FC}" name="Área Urbana"/>
    <tableColumn id="8" xr3:uid="{DC5A9047-A9CE-4D90-9C60-1F3647C4E476}" name="Água"/>
    <tableColumn id="9" xr3:uid="{D114B618-D91F-4FFC-8D63-4B823360927C}" name="Lavoura Temporária"/>
    <tableColumn id="10" xr3:uid="{D744F6BD-BCE8-4D51-B986-67CE001117AD}" name="SOMA (2006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8A546B-31CC-4393-83AF-C4D35FDE777D}" name="Tabela25" displayName="Tabela25" ref="C15:K23" totalsRowShown="0" tableBorderDxfId="127">
  <autoFilter ref="C15:K23" xr:uid="{EC8A546B-31CC-4393-83AF-C4D35FDE777D}"/>
  <tableColumns count="9">
    <tableColumn id="1" xr3:uid="{34370139-99F6-4D34-AEBD-AB08B31C1C29}" name="Classe" dataDxfId="126"/>
    <tableColumn id="2" xr3:uid="{A32B0224-CC5A-4FD8-89C2-70EA6F268B03}" name="Floresta" dataDxfId="125"/>
    <tableColumn id="3" xr3:uid="{889164B0-A065-4A4C-9027-AF352B71BF45}" name="Várzea" dataDxfId="124"/>
    <tableColumn id="4" xr3:uid="{F57CD2DE-F8A7-43D5-930E-71B8399C13E2}" name="Campo Alagado" dataDxfId="123"/>
    <tableColumn id="5" xr3:uid="{293218A8-6B36-434D-9615-5947853E2D0C}" name="Campo Natural" dataDxfId="122"/>
    <tableColumn id="6" xr3:uid="{4F7E036F-0F11-450A-AE70-F3BA6F2579B0}" name="Pastagem" dataDxfId="121"/>
    <tableColumn id="7" xr3:uid="{77B78D44-368B-4C78-B980-F9B600A2FD27}" name="Área Urbana" dataDxfId="120"/>
    <tableColumn id="8" xr3:uid="{FCE203C5-A681-4AC1-8B2B-4FCA9D7479D8}" name="Água" dataDxfId="119"/>
    <tableColumn id="9" xr3:uid="{7303702D-C8C6-4C34-BE24-EBF80D28293B}" name="Lavoura Temporária" dataDxfId="1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6E622-1167-4E13-A7F5-921BB9D8C89C}" name="Tabela1" displayName="Tabela1" ref="C3:L12" totalsRowShown="0" headerRowDxfId="117" headerRowBorderDxfId="116" tableBorderDxfId="115" totalsRowBorderDxfId="114">
  <autoFilter ref="C3:L12" xr:uid="{4B76E622-1167-4E13-A7F5-921BB9D8C89C}"/>
  <tableColumns count="10">
    <tableColumn id="1" xr3:uid="{BC3C63E7-3E0A-4A40-99E9-74F7F62CB1CB}" name="Classe" dataDxfId="113"/>
    <tableColumn id="2" xr3:uid="{A20259BA-7BD8-4DE9-A0EC-85424B1A4B12}" name="Floresta" dataDxfId="112"/>
    <tableColumn id="3" xr3:uid="{708DA7D6-CBD6-4C0A-8B10-862D40DBD2D0}" name="Várzea" dataDxfId="111"/>
    <tableColumn id="4" xr3:uid="{968C26DA-6B7F-4195-A0AA-F8EA46440972}" name="Campo Alagado" dataDxfId="110"/>
    <tableColumn id="5" xr3:uid="{B4AFB453-FAE1-4A64-8A8F-914574947E5D}" name="Campo Natural" dataDxfId="109"/>
    <tableColumn id="6" xr3:uid="{331BBC5A-A4B5-4EDF-9280-96158C997049}" name="Pastagem" dataDxfId="108"/>
    <tableColumn id="7" xr3:uid="{16D6BFD8-C183-4B10-89C3-9E6EDEDB222F}" name="Área Urbana" dataDxfId="107"/>
    <tableColumn id="8" xr3:uid="{A277F4FC-F1EF-4EBD-9DA8-1D8C5E7C4BDE}" name="Água" dataDxfId="106"/>
    <tableColumn id="9" xr3:uid="{7FB48828-B96D-4A46-9E66-67F1FF34B389}" name="Lavoura Temporária" dataDxfId="105"/>
    <tableColumn id="10" xr3:uid="{6FE8F2AF-45FD-414A-AB35-DEB05FA3909B}" name="SOMA (2011)" dataDxfId="104">
      <calculatedColumnFormula>SUM(Tabela1[[#This Row],[Floresta]:[Lavoura Temporária]])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C32A1B-DE38-49E1-B5D9-7FA4D981E6CF}" name="Tabela12" displayName="Tabela12" ref="C15:K23" totalsRowShown="0" headerRowDxfId="103" headerRowBorderDxfId="102">
  <autoFilter ref="C15:K23" xr:uid="{E2C32A1B-DE38-49E1-B5D9-7FA4D981E6CF}"/>
  <tableColumns count="9">
    <tableColumn id="1" xr3:uid="{250BA4C6-D471-4D93-8D6A-BE847BE0CDEE}" name="Classe" dataDxfId="101"/>
    <tableColumn id="2" xr3:uid="{DB61B231-9D86-4B7E-8C80-A561EDE96539}" name="Floresta" dataDxfId="100">
      <calculatedColumnFormula>D4/D$12</calculatedColumnFormula>
    </tableColumn>
    <tableColumn id="3" xr3:uid="{AD7B43FC-CDFB-4A30-AB01-C9463780629C}" name="Várzea" dataDxfId="99">
      <calculatedColumnFormula>E4/E$12</calculatedColumnFormula>
    </tableColumn>
    <tableColumn id="4" xr3:uid="{01ABEF4E-995F-47E2-8CEB-AB77228834C5}" name="Campo Alagado" dataDxfId="98">
      <calculatedColumnFormula>F4/F$12</calculatedColumnFormula>
    </tableColumn>
    <tableColumn id="5" xr3:uid="{CC67A1D8-69E0-4DB5-A059-228A52B0E84C}" name="Campo Natural" dataDxfId="97">
      <calculatedColumnFormula>G4/G$12</calculatedColumnFormula>
    </tableColumn>
    <tableColumn id="6" xr3:uid="{0CFA1EBE-EF42-41C9-B8F6-A2345DEF633C}" name="Pastagem" dataDxfId="96">
      <calculatedColumnFormula>H4/H$12</calculatedColumnFormula>
    </tableColumn>
    <tableColumn id="7" xr3:uid="{779D935D-4BCD-48D5-8CFF-6C3E5BA6A408}" name="Área Urbana" dataDxfId="95">
      <calculatedColumnFormula>I4/I$12</calculatedColumnFormula>
    </tableColumn>
    <tableColumn id="8" xr3:uid="{AE9C852E-9EAE-49F4-B733-CDD941CA7228}" name="Água" dataDxfId="94">
      <calculatedColumnFormula>J4/J$12</calculatedColumnFormula>
    </tableColumn>
    <tableColumn id="9" xr3:uid="{C28FE032-B9BF-4E1F-B3C7-555E46098E91}" name="Lavoura Temporária" dataDxfId="93">
      <calculatedColumnFormula>K4/K$12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6F2D92-E749-44A5-A2A6-2813F75ACF7D}" name="Tabela2" displayName="Tabela2" ref="C3:L12" totalsRowShown="0" headerRowDxfId="92" headerRowBorderDxfId="91" tableBorderDxfId="90" totalsRowBorderDxfId="89">
  <autoFilter ref="C3:L12" xr:uid="{716F2D92-E749-44A5-A2A6-2813F75ACF7D}"/>
  <tableColumns count="10">
    <tableColumn id="1" xr3:uid="{49CD6720-FF5F-4EA4-803B-CF741A6DA453}" name="Coluna1" dataDxfId="88"/>
    <tableColumn id="2" xr3:uid="{CC9A60F9-5218-4E42-97F6-9CAD754FFCD9}" name="Floresta" dataDxfId="87"/>
    <tableColumn id="3" xr3:uid="{22613038-0DC1-4E5E-A885-00A3145DD813}" name="Várzea" dataDxfId="86"/>
    <tableColumn id="4" xr3:uid="{07C7691C-2300-4687-8D2B-C17E260D58FB}" name="Campo Alagado" dataDxfId="85"/>
    <tableColumn id="5" xr3:uid="{25E31E9D-70BD-4D32-B295-5B86C4827D1D}" name="Campo Natural" dataDxfId="84"/>
    <tableColumn id="6" xr3:uid="{5679C521-A2A1-4A6C-AC4E-EAECB59AD59F}" name="Pastagem" dataDxfId="83"/>
    <tableColumn id="7" xr3:uid="{7254A9AF-6B84-42C9-9B59-54D29A1306A4}" name="Área Urbana" dataDxfId="82"/>
    <tableColumn id="8" xr3:uid="{A8C8939E-2A88-4688-AA08-D82202CFD490}" name="Água" dataDxfId="81"/>
    <tableColumn id="9" xr3:uid="{81B71FA5-39D9-4078-8F64-9D3F785859B9}" name="Lavoura Temporária" dataDxfId="80"/>
    <tableColumn id="10" xr3:uid="{949077F0-48E0-4187-AEEB-3E381E986FCB}" name="SOMA (2016)" dataDxfId="79">
      <calculatedColumnFormula>SUM(Tabela2[[#This Row],[Floresta]:[Lavoura Temporária]])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C655C2-7951-45CF-964A-E1BF8ADF16BC}" name="Tabela214" displayName="Tabela214" ref="C15:K23" totalsRowShown="0" headerRowDxfId="78" headerRowBorderDxfId="77" tableBorderDxfId="76" totalsRowBorderDxfId="75">
  <autoFilter ref="C15:K23" xr:uid="{F2C655C2-7951-45CF-964A-E1BF8ADF16BC}"/>
  <tableColumns count="9">
    <tableColumn id="1" xr3:uid="{BFC18F27-197C-4EC5-AA53-A8CA457E87E8}" name="Coluna1" dataDxfId="74"/>
    <tableColumn id="2" xr3:uid="{0C2463F9-739E-4563-9CE3-87A033A94BFD}" name="Floresta" dataDxfId="73">
      <calculatedColumnFormula>D4/D$12</calculatedColumnFormula>
    </tableColumn>
    <tableColumn id="3" xr3:uid="{549593DE-3CE5-47B8-B9FD-1DF526D41E07}" name="Várzea" dataDxfId="72">
      <calculatedColumnFormula>E4/E$12</calculatedColumnFormula>
    </tableColumn>
    <tableColumn id="4" xr3:uid="{636A7FA1-7577-46AC-A146-CB49A287DBC1}" name="Campo Alagado" dataDxfId="71">
      <calculatedColumnFormula>F4/F$12</calculatedColumnFormula>
    </tableColumn>
    <tableColumn id="5" xr3:uid="{D3D73C3E-A757-4453-9CC0-FA7ECE64119F}" name="Campo Natural" dataDxfId="70">
      <calculatedColumnFormula>G4/G$12</calculatedColumnFormula>
    </tableColumn>
    <tableColumn id="6" xr3:uid="{AA671120-28F5-429F-ACC1-5B7F73D842EE}" name="Pastagem" dataDxfId="69">
      <calculatedColumnFormula>H4/H$12</calculatedColumnFormula>
    </tableColumn>
    <tableColumn id="7" xr3:uid="{E7F7909C-6C15-4190-99EC-FF5A8B54B9AD}" name="Área Urbana" dataDxfId="68">
      <calculatedColumnFormula>I4/I$12</calculatedColumnFormula>
    </tableColumn>
    <tableColumn id="8" xr3:uid="{1C394BFA-5750-4DAE-A8A4-EAC106FCBDA2}" name="Água" dataDxfId="67">
      <calculatedColumnFormula>J4/J$12</calculatedColumnFormula>
    </tableColumn>
    <tableColumn id="9" xr3:uid="{D544E13A-6028-4BD2-9964-767926244794}" name="Lavoura Temporária" dataDxfId="66">
      <calculatedColumnFormula>K4/K$12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7FE4B0-44DA-4F03-A310-60143DBECA45}" name="Tabela5" displayName="Tabela5" ref="C3:L12" totalsRowShown="0" headerRowDxfId="65" headerRowBorderDxfId="64">
  <autoFilter ref="C3:L12" xr:uid="{687FE4B0-44DA-4F03-A310-60143DBECA45}"/>
  <tableColumns count="10">
    <tableColumn id="1" xr3:uid="{74A5D492-639E-4B31-B6A3-92AF28B75587}" name="Coluna1" dataDxfId="63"/>
    <tableColumn id="2" xr3:uid="{25423CD7-92CE-4B30-8B47-05250154EBEB}" name="Floresta" dataDxfId="62"/>
    <tableColumn id="3" xr3:uid="{77D54FFB-E526-4528-8641-A8C9ADAA2772}" name="Várzea" dataDxfId="61"/>
    <tableColumn id="4" xr3:uid="{A21DAFB3-D9E2-4761-84E8-62DD2CF9790E}" name="Campo Alagado" dataDxfId="60"/>
    <tableColumn id="5" xr3:uid="{C29C0000-5F79-42DC-A3C6-130B0969B6FB}" name="Campo Natural" dataDxfId="59"/>
    <tableColumn id="6" xr3:uid="{670EC12C-7209-471C-89CB-8C15EAC37426}" name="Pastagem" dataDxfId="58"/>
    <tableColumn id="7" xr3:uid="{999EFC49-776D-4476-8406-02E844BE921A}" name="Área Urbana" dataDxfId="57"/>
    <tableColumn id="8" xr3:uid="{1B0DB5A6-D5E1-4487-AA83-998AD1C8C587}" name="Água" dataDxfId="56"/>
    <tableColumn id="9" xr3:uid="{84601EF6-537B-482A-8E65-D0333F6DC21C}" name="Lavoura Temporária" dataDxfId="55"/>
    <tableColumn id="10" xr3:uid="{03E8FED5-0E25-4BE6-8392-13272E7D7CCD}" name="SOMA (2021)" dataDxfId="54">
      <calculatedColumnFormula>SUM(Tabela5[[#This Row],[Floresta]:[Lavoura Temporária]])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0FC92C3-975D-4C03-8C7A-21900B4BF1DD}" name="Tabela515" displayName="Tabela515" ref="C15:K23" totalsRowShown="0" headerRowDxfId="53" headerRowBorderDxfId="52">
  <autoFilter ref="C15:K23" xr:uid="{B0FC92C3-975D-4C03-8C7A-21900B4BF1DD}"/>
  <tableColumns count="9">
    <tableColumn id="1" xr3:uid="{81644AF2-031C-4485-B972-42BB9C622F10}" name="Coluna1" dataDxfId="51"/>
    <tableColumn id="2" xr3:uid="{4877C77F-2C94-49DB-9C70-9F09582CC2BE}" name="Floresta" dataDxfId="50">
      <calculatedColumnFormula>D4/D$12</calculatedColumnFormula>
    </tableColumn>
    <tableColumn id="3" xr3:uid="{4800B33E-B2B8-493B-8DA7-72853DFC4472}" name="Várzea" dataDxfId="49">
      <calculatedColumnFormula>E4/E$12</calculatedColumnFormula>
    </tableColumn>
    <tableColumn id="4" xr3:uid="{D9F1AB2F-3A49-454A-ADF1-509086892DCE}" name="Campo Alagado" dataDxfId="48">
      <calculatedColumnFormula>F4/F$12</calculatedColumnFormula>
    </tableColumn>
    <tableColumn id="5" xr3:uid="{418FB5D7-6A47-4A7B-BFCB-738573981E71}" name="Campo Natural" dataDxfId="47">
      <calculatedColumnFormula>G4/G$12</calculatedColumnFormula>
    </tableColumn>
    <tableColumn id="6" xr3:uid="{5BA635C5-8064-4F18-9B88-0C4D3AE4C00C}" name="Pastagem" dataDxfId="46">
      <calculatedColumnFormula>H4/H$12</calculatedColumnFormula>
    </tableColumn>
    <tableColumn id="7" xr3:uid="{C59A019E-CB9A-4616-A848-0D72A811408D}" name="Área Urbana" dataDxfId="45">
      <calculatedColumnFormula>I4/I$12</calculatedColumnFormula>
    </tableColumn>
    <tableColumn id="8" xr3:uid="{C8BF3BE2-0814-4DC9-BCF6-6D2CE62B68C7}" name="Água" dataDxfId="44">
      <calculatedColumnFormula>J4/J$12</calculatedColumnFormula>
    </tableColumn>
    <tableColumn id="9" xr3:uid="{0E3C8A7D-C12E-4282-90E0-41F1090D3E2B}" name="Lavoura Temporária" dataDxfId="43">
      <calculatedColumnFormula>K4/K$12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D61543-3E61-47F3-A4A1-10E24FF7DAE7}" name="Tabela6" displayName="Tabela6" ref="C3:N12" totalsRowCount="1" headerRowDxfId="42" headerRowBorderDxfId="41" tableBorderDxfId="40" totalsRowBorderDxfId="39">
  <autoFilter ref="C3:N11" xr:uid="{E3D61543-3E61-47F3-A4A1-10E24FF7DAE7}"/>
  <tableColumns count="12">
    <tableColumn id="1" xr3:uid="{451AEFED-AAE9-4F9E-8F1A-E743E6D63003}" name="Classe" totalsRowLabel="SOMA (2021)" dataDxfId="38" totalsRowDxfId="37"/>
    <tableColumn id="2" xr3:uid="{42D48FC1-3194-4B64-A0A4-99BC5A50697A}" name="Floresta" totalsRowFunction="custom" dataDxfId="36" totalsRowDxfId="35">
      <totalsRowFormula>SUM(D4:D11)</totalsRowFormula>
    </tableColumn>
    <tableColumn id="3" xr3:uid="{A7EEECB2-B2C2-4ADF-900E-012D12923B68}" name="Formação Savanica" totalsRowFunction="custom" dataDxfId="34" totalsRowDxfId="33">
      <totalsRowFormula>SUM(E4:E11)</totalsRowFormula>
    </tableColumn>
    <tableColumn id="4" xr3:uid="{D9ECD481-2F97-4BB8-81CE-738E9FF669D6}" name="Várzea" totalsRowFunction="custom" dataDxfId="32" totalsRowDxfId="31">
      <totalsRowFormula>SUM(F4:F11)</totalsRowFormula>
    </tableColumn>
    <tableColumn id="5" xr3:uid="{30FE0898-2FD9-45DC-87F2-B1B85A171B85}" name="Campo Alagado" totalsRowFunction="custom" dataDxfId="30" totalsRowDxfId="29">
      <totalsRowFormula>SUM(G4:G11)</totalsRowFormula>
    </tableColumn>
    <tableColumn id="6" xr3:uid="{9BAD44FC-E86F-44B8-85AE-8CBAF8ABE22F}" name="Campo Natural" totalsRowFunction="custom" dataDxfId="28" totalsRowDxfId="27">
      <totalsRowFormula>SUM(H4:H11)</totalsRowFormula>
    </tableColumn>
    <tableColumn id="7" xr3:uid="{D9DEB52D-9B7D-45C6-9E87-AD23DAE874D3}" name="Pastagem" totalsRowFunction="custom" dataDxfId="26" totalsRowDxfId="25">
      <totalsRowFormula>SUM(I4:I11)</totalsRowFormula>
    </tableColumn>
    <tableColumn id="8" xr3:uid="{FB49D8BF-7015-4694-859B-4369FAE613E8}" name="Área Urbana" totalsRowFunction="custom" dataDxfId="24" totalsRowDxfId="23">
      <totalsRowFormula>SUM(J4:J11)</totalsRowFormula>
    </tableColumn>
    <tableColumn id="9" xr3:uid="{8ECED0FF-5330-4629-AA20-8ABE958A45C3}" name="Água" totalsRowFunction="custom" dataDxfId="22" totalsRowDxfId="21">
      <totalsRowFormula>SUM(K4:K11)</totalsRowFormula>
    </tableColumn>
    <tableColumn id="10" xr3:uid="{DDB4460D-DA36-4F66-A827-9970E605B4CD}" name="Soja" totalsRowFunction="custom" dataDxfId="20" totalsRowDxfId="19">
      <totalsRowFormula>SUM(L4:L11)</totalsRowFormula>
    </tableColumn>
    <tableColumn id="11" xr3:uid="{0AC1E140-5092-40F7-8D0A-1C33B73046AF}" name="Lavoura Temporária" totalsRowFunction="custom" dataDxfId="18" totalsRowDxfId="17">
      <totalsRowFormula>SUM(M4:M11)</totalsRowFormula>
    </tableColumn>
    <tableColumn id="12" xr3:uid="{628B6050-11A3-44FB-8F43-CD3BAB6E704B}" name="SOMA (2022)" dataDxfId="16" totalsRowDxfId="15">
      <calculatedColumnFormula>SUM(Tabela5[[#This Row],[Floresta]:[Lavoura Temporária]])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A5AF93-BC95-4FF6-90B1-DFF482264E6D}" name="Tabela616" displayName="Tabela616" ref="C15:M23" totalsRowShown="0" headerRowDxfId="14" headerRowBorderDxfId="13" tableBorderDxfId="12" totalsRowBorderDxfId="11">
  <autoFilter ref="C15:M23" xr:uid="{BEA5AF93-BC95-4FF6-90B1-DFF482264E6D}"/>
  <tableColumns count="11">
    <tableColumn id="1" xr3:uid="{82CC4E58-B9EA-439F-8353-8667057BC380}" name="Classe" dataDxfId="10"/>
    <tableColumn id="2" xr3:uid="{81A470F6-44D4-441A-B023-FA3216149E4C}" name="Floresta" dataDxfId="9">
      <calculatedColumnFormula>D4/D$12</calculatedColumnFormula>
    </tableColumn>
    <tableColumn id="3" xr3:uid="{F452019B-0C57-455D-BB5E-4441A885C897}" name="Formação Savanica" dataDxfId="8">
      <calculatedColumnFormula>E4/E$12</calculatedColumnFormula>
    </tableColumn>
    <tableColumn id="4" xr3:uid="{C6EBF590-3F89-4616-82F4-E44950C03366}" name="Várzea" dataDxfId="7">
      <calculatedColumnFormula>F4/F$12</calculatedColumnFormula>
    </tableColumn>
    <tableColumn id="5" xr3:uid="{996BBB46-A20E-4F83-99DD-AE88377C48F4}" name="Campo Alagado" dataDxfId="6">
      <calculatedColumnFormula>G4/G$12</calculatedColumnFormula>
    </tableColumn>
    <tableColumn id="6" xr3:uid="{E0884574-6048-4083-AA80-11D3D55EB2CE}" name="Campo Natural" dataDxfId="5">
      <calculatedColumnFormula>H4/H$12</calculatedColumnFormula>
    </tableColumn>
    <tableColumn id="7" xr3:uid="{7082D2D3-14B9-48FA-AB0B-E06CB76808BF}" name="Pastagem" dataDxfId="4">
      <calculatedColumnFormula>I4/I$12</calculatedColumnFormula>
    </tableColumn>
    <tableColumn id="8" xr3:uid="{EFA07B4B-4E4A-4237-8A26-700058FA09EC}" name="Área Urbana" dataDxfId="3">
      <calculatedColumnFormula>J4/J$12</calculatedColumnFormula>
    </tableColumn>
    <tableColumn id="9" xr3:uid="{73B716D7-C811-4668-9DDB-638C821FD8D7}" name="Água" dataDxfId="2">
      <calculatedColumnFormula>K4/K$12</calculatedColumnFormula>
    </tableColumn>
    <tableColumn id="10" xr3:uid="{EC889736-D32C-4A63-8CA2-7E2A3FAF606B}" name="Soja" dataDxfId="1">
      <calculatedColumnFormula>L4/L$12</calculatedColumnFormula>
    </tableColumn>
    <tableColumn id="11" xr3:uid="{8BB48042-4F44-4707-B9F4-2F56FBFB7380}" name="Lavoura Temporária" dataDxfId="0">
      <calculatedColumnFormula>M4/M$12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07A6-863C-454D-8136-FC63EB81D915}">
  <dimension ref="B2:L23"/>
  <sheetViews>
    <sheetView tabSelected="1" workbookViewId="0">
      <selection activeCell="K17" sqref="K17"/>
    </sheetView>
  </sheetViews>
  <sheetFormatPr defaultRowHeight="15" x14ac:dyDescent="0.25"/>
  <cols>
    <col min="1" max="1" width="4.42578125" customWidth="1"/>
    <col min="3" max="3" width="18.7109375" bestFit="1" customWidth="1"/>
    <col min="4" max="5" width="12" bestFit="1" customWidth="1"/>
    <col min="6" max="6" width="17.140625" bestFit="1" customWidth="1"/>
    <col min="7" max="7" width="16.5703125" bestFit="1" customWidth="1"/>
    <col min="8" max="8" width="12" bestFit="1" customWidth="1"/>
    <col min="9" max="9" width="14.28515625" bestFit="1" customWidth="1"/>
    <col min="10" max="10" width="12" bestFit="1" customWidth="1"/>
    <col min="11" max="11" width="21" bestFit="1" customWidth="1"/>
    <col min="12" max="12" width="14.7109375" bestFit="1" customWidth="1"/>
  </cols>
  <sheetData>
    <row r="2" spans="2:12" x14ac:dyDescent="0.25">
      <c r="D2" s="14">
        <v>2001</v>
      </c>
      <c r="E2" s="15"/>
      <c r="F2" s="15"/>
      <c r="G2" s="15"/>
      <c r="H2" s="15"/>
      <c r="I2" s="15"/>
      <c r="J2" s="15"/>
      <c r="K2" s="16"/>
    </row>
    <row r="3" spans="2:12" x14ac:dyDescent="0.25">
      <c r="C3" t="s">
        <v>10</v>
      </c>
      <c r="D3" s="2" t="s">
        <v>11</v>
      </c>
      <c r="E3" s="2" t="s">
        <v>7</v>
      </c>
      <c r="F3" s="2" t="s">
        <v>6</v>
      </c>
      <c r="G3" s="2" t="s">
        <v>5</v>
      </c>
      <c r="H3" s="2" t="s">
        <v>4</v>
      </c>
      <c r="I3" s="2" t="s">
        <v>3</v>
      </c>
      <c r="J3" s="2" t="s">
        <v>2</v>
      </c>
      <c r="K3" s="2" t="s">
        <v>1</v>
      </c>
      <c r="L3" s="2" t="s">
        <v>9</v>
      </c>
    </row>
    <row r="4" spans="2:12" ht="15" customHeight="1" x14ac:dyDescent="0.25">
      <c r="B4" s="17">
        <v>2006</v>
      </c>
      <c r="C4" s="2" t="s">
        <v>8</v>
      </c>
      <c r="D4" s="1">
        <v>213111.81</v>
      </c>
      <c r="E4" s="1">
        <v>6.75</v>
      </c>
      <c r="F4" s="1">
        <v>226.79999999999998</v>
      </c>
      <c r="G4" s="1">
        <v>8.19</v>
      </c>
      <c r="H4" s="1">
        <v>5551.5599999999995</v>
      </c>
      <c r="I4" s="1">
        <v>0.09</v>
      </c>
      <c r="J4" s="1">
        <v>276.83999999999997</v>
      </c>
      <c r="K4" s="1">
        <v>0.27</v>
      </c>
      <c r="L4" s="3">
        <v>219182.31</v>
      </c>
    </row>
    <row r="5" spans="2:12" x14ac:dyDescent="0.25">
      <c r="B5" s="18"/>
      <c r="C5" s="2" t="s">
        <v>7</v>
      </c>
      <c r="D5" s="1">
        <v>9.27</v>
      </c>
      <c r="E5" s="1">
        <v>1621.62</v>
      </c>
      <c r="F5" s="1">
        <v>89.28</v>
      </c>
      <c r="G5" s="1">
        <v>0.63</v>
      </c>
      <c r="H5" s="1">
        <v>44.19</v>
      </c>
      <c r="I5" s="1">
        <v>0</v>
      </c>
      <c r="J5" s="1">
        <v>22.59</v>
      </c>
      <c r="K5" s="1">
        <v>0</v>
      </c>
      <c r="L5" s="3">
        <v>1787.58</v>
      </c>
    </row>
    <row r="6" spans="2:12" x14ac:dyDescent="0.25">
      <c r="B6" s="18"/>
      <c r="C6" s="2" t="s">
        <v>6</v>
      </c>
      <c r="D6" s="1">
        <v>182.16</v>
      </c>
      <c r="E6" s="1">
        <v>74.069999999999993</v>
      </c>
      <c r="F6" s="1">
        <v>3240.6299999999997</v>
      </c>
      <c r="G6" s="1">
        <v>347.21999999999997</v>
      </c>
      <c r="H6" s="1">
        <v>495.81</v>
      </c>
      <c r="I6" s="1">
        <v>0.09</v>
      </c>
      <c r="J6" s="1">
        <v>471.24</v>
      </c>
      <c r="K6" s="1">
        <v>1.44</v>
      </c>
      <c r="L6" s="3">
        <v>4812.66</v>
      </c>
    </row>
    <row r="7" spans="2:12" x14ac:dyDescent="0.25">
      <c r="B7" s="18"/>
      <c r="C7" s="2" t="s">
        <v>5</v>
      </c>
      <c r="D7" s="1">
        <v>4.32</v>
      </c>
      <c r="E7" s="1">
        <v>0.54</v>
      </c>
      <c r="F7" s="1">
        <v>65.789999999999992</v>
      </c>
      <c r="G7" s="1">
        <v>96.66</v>
      </c>
      <c r="H7" s="1">
        <v>60.3</v>
      </c>
      <c r="I7" s="1">
        <v>0</v>
      </c>
      <c r="J7" s="1">
        <v>34.11</v>
      </c>
      <c r="K7" s="1">
        <v>0</v>
      </c>
      <c r="L7" s="3">
        <v>261.71999999999997</v>
      </c>
    </row>
    <row r="8" spans="2:12" x14ac:dyDescent="0.25">
      <c r="B8" s="18"/>
      <c r="C8" s="2" t="s">
        <v>4</v>
      </c>
      <c r="D8" s="1">
        <v>44747.189999999995</v>
      </c>
      <c r="E8" s="1">
        <v>120.78</v>
      </c>
      <c r="F8" s="1">
        <v>470.25</v>
      </c>
      <c r="G8" s="1">
        <v>166.85999999999999</v>
      </c>
      <c r="H8" s="1">
        <v>111067.11</v>
      </c>
      <c r="I8" s="1">
        <v>0.54</v>
      </c>
      <c r="J8" s="1">
        <v>82.08</v>
      </c>
      <c r="K8" s="1">
        <v>34.29</v>
      </c>
      <c r="L8" s="3">
        <v>156689.1</v>
      </c>
    </row>
    <row r="9" spans="2:12" x14ac:dyDescent="0.25">
      <c r="B9" s="18"/>
      <c r="C9" s="2" t="s">
        <v>3</v>
      </c>
      <c r="D9" s="1">
        <v>22.95</v>
      </c>
      <c r="E9" s="1">
        <v>0</v>
      </c>
      <c r="F9" s="1">
        <v>0.44999999999999996</v>
      </c>
      <c r="G9" s="1">
        <v>0</v>
      </c>
      <c r="H9" s="1">
        <v>127.8</v>
      </c>
      <c r="I9" s="1">
        <v>1175.94</v>
      </c>
      <c r="J9" s="1">
        <v>0</v>
      </c>
      <c r="K9" s="1">
        <v>0</v>
      </c>
      <c r="L9" s="3">
        <v>1327.1399999999999</v>
      </c>
    </row>
    <row r="10" spans="2:12" x14ac:dyDescent="0.25">
      <c r="B10" s="18"/>
      <c r="C10" s="2" t="s">
        <v>2</v>
      </c>
      <c r="D10" s="1">
        <v>167.4</v>
      </c>
      <c r="E10" s="1">
        <v>17.189999999999998</v>
      </c>
      <c r="F10" s="1">
        <v>1628.82</v>
      </c>
      <c r="G10" s="1">
        <v>189.35999999999999</v>
      </c>
      <c r="H10" s="1">
        <v>149.22</v>
      </c>
      <c r="I10" s="1">
        <v>1.3499999999999999</v>
      </c>
      <c r="J10" s="1">
        <v>48835.799999999996</v>
      </c>
      <c r="K10" s="1">
        <v>12.33</v>
      </c>
      <c r="L10" s="3">
        <v>51001.47</v>
      </c>
    </row>
    <row r="11" spans="2:12" x14ac:dyDescent="0.25">
      <c r="B11" s="19"/>
      <c r="C11" s="2" t="s">
        <v>1</v>
      </c>
      <c r="D11" s="1">
        <v>0.99</v>
      </c>
      <c r="E11" s="1">
        <v>0</v>
      </c>
      <c r="F11" s="1">
        <v>5.58</v>
      </c>
      <c r="G11" s="1">
        <v>0.72</v>
      </c>
      <c r="H11" s="1">
        <v>132.75</v>
      </c>
      <c r="I11" s="1">
        <v>0</v>
      </c>
      <c r="J11" s="1">
        <v>0.18</v>
      </c>
      <c r="K11" s="1">
        <v>27</v>
      </c>
      <c r="L11" s="3">
        <v>167.22</v>
      </c>
    </row>
    <row r="12" spans="2:12" x14ac:dyDescent="0.25">
      <c r="C12" s="2" t="s">
        <v>0</v>
      </c>
      <c r="D12" s="4">
        <v>258246.09</v>
      </c>
      <c r="E12" s="4">
        <v>1840.95</v>
      </c>
      <c r="F12" s="4">
        <v>5727.5999999999995</v>
      </c>
      <c r="G12" s="4">
        <v>809.64</v>
      </c>
      <c r="H12" s="4">
        <v>117628.73999999999</v>
      </c>
      <c r="I12" s="4">
        <v>1178.01</v>
      </c>
      <c r="J12" s="4">
        <v>49722.84</v>
      </c>
      <c r="K12" s="4">
        <v>75.33</v>
      </c>
      <c r="L12" s="5"/>
    </row>
    <row r="14" spans="2:12" x14ac:dyDescent="0.25">
      <c r="D14" s="14">
        <v>2001</v>
      </c>
      <c r="E14" s="15"/>
      <c r="F14" s="15"/>
      <c r="G14" s="15"/>
      <c r="H14" s="15"/>
      <c r="I14" s="15"/>
      <c r="J14" s="15"/>
      <c r="K14" s="16"/>
    </row>
    <row r="15" spans="2:12" x14ac:dyDescent="0.25">
      <c r="C15" t="s">
        <v>10</v>
      </c>
      <c r="D15" t="s">
        <v>8</v>
      </c>
      <c r="E15" t="s">
        <v>7</v>
      </c>
      <c r="F15" t="s">
        <v>6</v>
      </c>
      <c r="G15" t="s">
        <v>5</v>
      </c>
      <c r="H15" t="s">
        <v>4</v>
      </c>
      <c r="I15" t="s">
        <v>3</v>
      </c>
      <c r="J15" t="s">
        <v>2</v>
      </c>
      <c r="K15" t="s">
        <v>1</v>
      </c>
    </row>
    <row r="16" spans="2:12" x14ac:dyDescent="0.25">
      <c r="B16" s="17">
        <v>2006</v>
      </c>
      <c r="C16" s="6" t="s">
        <v>8</v>
      </c>
      <c r="D16" s="7">
        <f>D4/D$12</f>
        <v>0.82522763461781745</v>
      </c>
      <c r="E16" s="7">
        <f t="shared" ref="E16:K16" si="0">E4/E$12</f>
        <v>3.6665851869958446E-3</v>
      </c>
      <c r="F16" s="7">
        <f t="shared" si="0"/>
        <v>3.9597737272155875E-2</v>
      </c>
      <c r="G16" s="7">
        <f t="shared" si="0"/>
        <v>1.0115606936416185E-2</v>
      </c>
      <c r="H16" s="7">
        <f t="shared" si="0"/>
        <v>4.7195608828250649E-2</v>
      </c>
      <c r="I16" s="7">
        <f t="shared" si="0"/>
        <v>7.6400030560012217E-5</v>
      </c>
      <c r="J16" s="7">
        <f t="shared" si="0"/>
        <v>5.5676626676995919E-3</v>
      </c>
      <c r="K16" s="7">
        <f t="shared" si="0"/>
        <v>3.584229390681004E-3</v>
      </c>
    </row>
    <row r="17" spans="2:11" x14ac:dyDescent="0.25">
      <c r="B17" s="18"/>
      <c r="C17" s="6" t="s">
        <v>7</v>
      </c>
      <c r="D17" s="7">
        <f t="shared" ref="D17:K17" si="1">D5/D$12</f>
        <v>3.5895993623756313E-5</v>
      </c>
      <c r="E17" s="7">
        <f t="shared" si="1"/>
        <v>0.88086042532388165</v>
      </c>
      <c r="F17" s="7">
        <f t="shared" si="1"/>
        <v>1.5587680703959775E-2</v>
      </c>
      <c r="G17" s="7">
        <f t="shared" si="1"/>
        <v>7.7812361049355266E-4</v>
      </c>
      <c r="H17" s="7">
        <f t="shared" si="1"/>
        <v>3.7567349612008087E-4</v>
      </c>
      <c r="I17" s="7">
        <f t="shared" si="1"/>
        <v>0</v>
      </c>
      <c r="J17" s="7">
        <f t="shared" si="1"/>
        <v>4.5431837763088354E-4</v>
      </c>
      <c r="K17" s="7">
        <f t="shared" si="1"/>
        <v>0</v>
      </c>
    </row>
    <row r="18" spans="2:11" x14ac:dyDescent="0.25">
      <c r="B18" s="18"/>
      <c r="C18" s="6" t="s">
        <v>6</v>
      </c>
      <c r="D18" s="7">
        <f t="shared" ref="D18:K18" si="2">D6/D$12</f>
        <v>7.0537369994643482E-4</v>
      </c>
      <c r="E18" s="7">
        <f t="shared" si="2"/>
        <v>4.0234661451967732E-2</v>
      </c>
      <c r="F18" s="7">
        <f t="shared" si="2"/>
        <v>0.56579195474544308</v>
      </c>
      <c r="G18" s="7">
        <f t="shared" si="2"/>
        <v>0.42885726989773232</v>
      </c>
      <c r="H18" s="7">
        <f t="shared" si="2"/>
        <v>4.2150413240845735E-3</v>
      </c>
      <c r="I18" s="7">
        <f t="shared" si="2"/>
        <v>7.6400030560012217E-5</v>
      </c>
      <c r="J18" s="7">
        <f t="shared" si="2"/>
        <v>9.4773347620530132E-3</v>
      </c>
      <c r="K18" s="7">
        <f t="shared" si="2"/>
        <v>1.9115890083632018E-2</v>
      </c>
    </row>
    <row r="19" spans="2:11" x14ac:dyDescent="0.25">
      <c r="B19" s="18"/>
      <c r="C19" s="6" t="s">
        <v>5</v>
      </c>
      <c r="D19" s="7">
        <f t="shared" ref="D19:K19" si="3">D7/D$12</f>
        <v>1.6728230038255371E-5</v>
      </c>
      <c r="E19" s="7">
        <f t="shared" si="3"/>
        <v>2.9332681495966757E-4</v>
      </c>
      <c r="F19" s="7">
        <f t="shared" si="3"/>
        <v>1.1486486486486485E-2</v>
      </c>
      <c r="G19" s="7">
        <f t="shared" si="3"/>
        <v>0.11938639395286794</v>
      </c>
      <c r="H19" s="7">
        <f t="shared" si="3"/>
        <v>5.1262982158951974E-4</v>
      </c>
      <c r="I19" s="7">
        <f t="shared" si="3"/>
        <v>0</v>
      </c>
      <c r="J19" s="7">
        <f t="shared" si="3"/>
        <v>6.8600264988886398E-4</v>
      </c>
      <c r="K19" s="7">
        <f t="shared" si="3"/>
        <v>0</v>
      </c>
    </row>
    <row r="20" spans="2:11" x14ac:dyDescent="0.25">
      <c r="B20" s="18"/>
      <c r="C20" s="6" t="s">
        <v>4</v>
      </c>
      <c r="D20" s="7">
        <f t="shared" ref="D20:K20" si="4">D8/D$12</f>
        <v>0.17327344626979635</v>
      </c>
      <c r="E20" s="7">
        <f t="shared" si="4"/>
        <v>6.5607430945978984E-2</v>
      </c>
      <c r="F20" s="7">
        <f t="shared" si="4"/>
        <v>8.2102451288497802E-2</v>
      </c>
      <c r="G20" s="7">
        <f t="shared" si="4"/>
        <v>0.20609159626500664</v>
      </c>
      <c r="H20" s="7">
        <f t="shared" si="4"/>
        <v>0.94421745910055666</v>
      </c>
      <c r="I20" s="7">
        <f t="shared" si="4"/>
        <v>4.5840018336007336E-4</v>
      </c>
      <c r="J20" s="7">
        <f t="shared" si="4"/>
        <v>1.6507504398381107E-3</v>
      </c>
      <c r="K20" s="7">
        <f t="shared" si="4"/>
        <v>0.45519713261648748</v>
      </c>
    </row>
    <row r="21" spans="2:11" x14ac:dyDescent="0.25">
      <c r="B21" s="18"/>
      <c r="C21" s="6" t="s">
        <v>3</v>
      </c>
      <c r="D21" s="7">
        <f t="shared" ref="D21:K21" si="5">D9/D$12</f>
        <v>8.8868722078231657E-5</v>
      </c>
      <c r="E21" s="7">
        <f t="shared" si="5"/>
        <v>0</v>
      </c>
      <c r="F21" s="7">
        <f t="shared" si="5"/>
        <v>7.8566939032055313E-5</v>
      </c>
      <c r="G21" s="7">
        <f t="shared" si="5"/>
        <v>0</v>
      </c>
      <c r="H21" s="7">
        <f t="shared" si="5"/>
        <v>1.0864691741151015E-3</v>
      </c>
      <c r="I21" s="7">
        <f t="shared" si="5"/>
        <v>0.99824279929711979</v>
      </c>
      <c r="J21" s="7">
        <f t="shared" si="5"/>
        <v>0</v>
      </c>
      <c r="K21" s="7">
        <f t="shared" si="5"/>
        <v>0</v>
      </c>
    </row>
    <row r="22" spans="2:11" x14ac:dyDescent="0.25">
      <c r="B22" s="18"/>
      <c r="C22" s="6" t="s">
        <v>2</v>
      </c>
      <c r="D22" s="7">
        <f t="shared" ref="D22:K22" si="6">D10/D$12</f>
        <v>6.4821891398239562E-4</v>
      </c>
      <c r="E22" s="7">
        <f t="shared" si="6"/>
        <v>9.3375702762160829E-3</v>
      </c>
      <c r="F22" s="7">
        <f t="shared" si="6"/>
        <v>0.28438089252042742</v>
      </c>
      <c r="G22" s="7">
        <f t="shared" si="6"/>
        <v>0.23388172521120495</v>
      </c>
      <c r="H22" s="7">
        <f t="shared" si="6"/>
        <v>1.2685675286498862E-3</v>
      </c>
      <c r="I22" s="7">
        <f t="shared" si="6"/>
        <v>1.1460004584001834E-3</v>
      </c>
      <c r="J22" s="7">
        <f t="shared" si="6"/>
        <v>0.98216031103613544</v>
      </c>
      <c r="K22" s="7">
        <f t="shared" si="6"/>
        <v>0.16367980884109917</v>
      </c>
    </row>
    <row r="23" spans="2:11" x14ac:dyDescent="0.25">
      <c r="B23" s="19"/>
      <c r="C23" s="6" t="s">
        <v>1</v>
      </c>
      <c r="D23" s="7">
        <f t="shared" ref="D23:K23" si="7">D11/D$12</f>
        <v>3.8335527171001891E-6</v>
      </c>
      <c r="E23" s="7">
        <f t="shared" si="7"/>
        <v>0</v>
      </c>
      <c r="F23" s="7">
        <f t="shared" si="7"/>
        <v>9.7423004399748597E-4</v>
      </c>
      <c r="G23" s="7">
        <f t="shared" si="7"/>
        <v>8.8928412627834591E-4</v>
      </c>
      <c r="H23" s="7">
        <f t="shared" si="7"/>
        <v>1.1285507266336442E-3</v>
      </c>
      <c r="I23" s="7">
        <f t="shared" si="7"/>
        <v>0</v>
      </c>
      <c r="J23" s="7">
        <f t="shared" si="7"/>
        <v>3.6200667540309444E-6</v>
      </c>
      <c r="K23" s="7">
        <f t="shared" si="7"/>
        <v>0.35842293906810035</v>
      </c>
    </row>
  </sheetData>
  <mergeCells count="4">
    <mergeCell ref="D2:K2"/>
    <mergeCell ref="B4:B11"/>
    <mergeCell ref="D14:K14"/>
    <mergeCell ref="B16:B2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9212-4464-4F8B-8F43-773FD9CA59AF}">
  <dimension ref="B2:L23"/>
  <sheetViews>
    <sheetView workbookViewId="0">
      <selection activeCell="K16" sqref="K16:K23"/>
    </sheetView>
  </sheetViews>
  <sheetFormatPr defaultRowHeight="15" x14ac:dyDescent="0.25"/>
  <cols>
    <col min="3" max="3" width="19.7109375" bestFit="1" customWidth="1"/>
    <col min="4" max="4" width="10.28515625" customWidth="1"/>
    <col min="5" max="5" width="9.140625" customWidth="1"/>
    <col min="6" max="6" width="16.85546875" customWidth="1"/>
    <col min="7" max="7" width="16.28515625" customWidth="1"/>
    <col min="8" max="8" width="11.7109375" customWidth="1"/>
    <col min="9" max="9" width="14.140625" customWidth="1"/>
    <col min="10" max="10" width="7.5703125" customWidth="1"/>
    <col min="11" max="11" width="20.5703125" customWidth="1"/>
    <col min="12" max="12" width="16.5703125" customWidth="1"/>
  </cols>
  <sheetData>
    <row r="2" spans="2:12" x14ac:dyDescent="0.25">
      <c r="D2" s="14">
        <v>2006</v>
      </c>
      <c r="E2" s="15"/>
      <c r="F2" s="15"/>
      <c r="G2" s="15"/>
      <c r="H2" s="15"/>
      <c r="I2" s="15"/>
      <c r="J2" s="15"/>
      <c r="K2" s="16"/>
    </row>
    <row r="3" spans="2:12" x14ac:dyDescent="0.25">
      <c r="C3" s="9" t="s">
        <v>10</v>
      </c>
      <c r="D3" s="10" t="s">
        <v>8</v>
      </c>
      <c r="E3" s="10" t="s">
        <v>7</v>
      </c>
      <c r="F3" s="10" t="s">
        <v>6</v>
      </c>
      <c r="G3" s="10" t="s">
        <v>5</v>
      </c>
      <c r="H3" s="10" t="s">
        <v>4</v>
      </c>
      <c r="I3" s="10" t="s">
        <v>3</v>
      </c>
      <c r="J3" s="10" t="s">
        <v>2</v>
      </c>
      <c r="K3" s="8" t="s">
        <v>1</v>
      </c>
      <c r="L3" s="10" t="s">
        <v>15</v>
      </c>
    </row>
    <row r="4" spans="2:12" x14ac:dyDescent="0.25">
      <c r="B4" s="17">
        <v>2011</v>
      </c>
      <c r="C4" s="11" t="s">
        <v>8</v>
      </c>
      <c r="D4" s="1">
        <v>193351.77</v>
      </c>
      <c r="E4" s="1">
        <v>7.92</v>
      </c>
      <c r="F4" s="1">
        <v>215.91</v>
      </c>
      <c r="G4" s="1">
        <v>4.1399999999999997</v>
      </c>
      <c r="H4" s="1">
        <v>7157.79</v>
      </c>
      <c r="I4" s="1">
        <v>0.09</v>
      </c>
      <c r="J4" s="1">
        <v>342.71999999999997</v>
      </c>
      <c r="K4" s="1">
        <v>0.18</v>
      </c>
      <c r="L4" s="10">
        <f>SUM(Tabela1[[#This Row],[Floresta]:[Lavoura Temporária]])</f>
        <v>201080.52000000002</v>
      </c>
    </row>
    <row r="5" spans="2:12" x14ac:dyDescent="0.25">
      <c r="B5" s="18"/>
      <c r="C5" s="11" t="s">
        <v>7</v>
      </c>
      <c r="D5" s="1">
        <v>7.02</v>
      </c>
      <c r="E5" s="1">
        <v>1654.11</v>
      </c>
      <c r="F5" s="1">
        <v>104.85</v>
      </c>
      <c r="G5" s="1">
        <v>0.18</v>
      </c>
      <c r="H5" s="1">
        <v>60.75</v>
      </c>
      <c r="I5" s="1">
        <v>0</v>
      </c>
      <c r="J5" s="1">
        <v>25.29</v>
      </c>
      <c r="K5" s="1">
        <v>0</v>
      </c>
      <c r="L5" s="1">
        <f>SUM(Tabela1[[#This Row],[Floresta]:[Lavoura Temporária]])</f>
        <v>1852.1999999999998</v>
      </c>
    </row>
    <row r="6" spans="2:12" x14ac:dyDescent="0.25">
      <c r="B6" s="18"/>
      <c r="C6" s="11" t="s">
        <v>6</v>
      </c>
      <c r="D6" s="1">
        <v>175.76999999999998</v>
      </c>
      <c r="E6" s="1">
        <v>49.5</v>
      </c>
      <c r="F6" s="1">
        <v>3306.06</v>
      </c>
      <c r="G6" s="1">
        <v>93.149999999999991</v>
      </c>
      <c r="H6" s="1">
        <v>629.54999999999995</v>
      </c>
      <c r="I6" s="1">
        <v>0.18</v>
      </c>
      <c r="J6" s="1">
        <v>2569.3199999999997</v>
      </c>
      <c r="K6" s="1">
        <v>5.3999999999999995</v>
      </c>
      <c r="L6" s="1">
        <f>SUM(Tabela1[[#This Row],[Floresta]:[Lavoura Temporária]])</f>
        <v>6828.9299999999994</v>
      </c>
    </row>
    <row r="7" spans="2:12" x14ac:dyDescent="0.25">
      <c r="B7" s="18"/>
      <c r="C7" s="11" t="s">
        <v>5</v>
      </c>
      <c r="D7" s="1">
        <v>4.95</v>
      </c>
      <c r="E7" s="1">
        <v>0.89999999999999991</v>
      </c>
      <c r="F7" s="1">
        <v>393.57</v>
      </c>
      <c r="G7" s="1">
        <v>89.28</v>
      </c>
      <c r="H7" s="1">
        <v>191.60999999999999</v>
      </c>
      <c r="I7" s="1">
        <v>0.27</v>
      </c>
      <c r="J7" s="1">
        <v>168.57</v>
      </c>
      <c r="K7" s="1">
        <v>0.27</v>
      </c>
      <c r="L7" s="1">
        <f>SUM(Tabela1[[#This Row],[Floresta]:[Lavoura Temporária]])</f>
        <v>849.42000000000007</v>
      </c>
    </row>
    <row r="8" spans="2:12" x14ac:dyDescent="0.25">
      <c r="B8" s="18"/>
      <c r="C8" s="11" t="s">
        <v>4</v>
      </c>
      <c r="D8" s="1">
        <v>25459.02</v>
      </c>
      <c r="E8" s="1">
        <v>65.7</v>
      </c>
      <c r="F8" s="1">
        <v>510.75</v>
      </c>
      <c r="G8" s="1">
        <v>61.29</v>
      </c>
      <c r="H8" s="1">
        <v>148343.04000000001</v>
      </c>
      <c r="I8" s="1">
        <v>0.36</v>
      </c>
      <c r="J8" s="1">
        <v>218.97</v>
      </c>
      <c r="K8" s="1">
        <v>125.91</v>
      </c>
      <c r="L8" s="1">
        <f>SUM(Tabela1[[#This Row],[Floresta]:[Lavoura Temporária]])</f>
        <v>174785.04</v>
      </c>
    </row>
    <row r="9" spans="2:12" x14ac:dyDescent="0.25">
      <c r="B9" s="18"/>
      <c r="C9" s="11" t="s">
        <v>3</v>
      </c>
      <c r="D9" s="1">
        <v>11.969999999999999</v>
      </c>
      <c r="E9" s="1">
        <v>0</v>
      </c>
      <c r="F9" s="1">
        <v>2.25</v>
      </c>
      <c r="G9" s="1">
        <v>0</v>
      </c>
      <c r="H9" s="1">
        <v>177.93</v>
      </c>
      <c r="I9" s="1">
        <v>1325.79</v>
      </c>
      <c r="J9" s="1">
        <v>2.16</v>
      </c>
      <c r="K9" s="1">
        <v>0</v>
      </c>
      <c r="L9" s="1">
        <f>SUM(Tabela1[[#This Row],[Floresta]:[Lavoura Temporária]])</f>
        <v>1520.1000000000001</v>
      </c>
    </row>
    <row r="10" spans="2:12" x14ac:dyDescent="0.25">
      <c r="B10" s="18"/>
      <c r="C10" s="11" t="s">
        <v>2</v>
      </c>
      <c r="D10" s="1">
        <v>171.81</v>
      </c>
      <c r="E10" s="1">
        <v>9.4499999999999993</v>
      </c>
      <c r="F10" s="1">
        <v>275.67</v>
      </c>
      <c r="G10" s="1">
        <v>13.68</v>
      </c>
      <c r="H10" s="1">
        <v>46.35</v>
      </c>
      <c r="I10" s="1">
        <v>0.44999999999999996</v>
      </c>
      <c r="J10" s="1">
        <v>47667.96</v>
      </c>
      <c r="K10" s="1">
        <v>0.27</v>
      </c>
      <c r="L10" s="1">
        <f>SUM(Tabela1[[#This Row],[Floresta]:[Lavoura Temporária]])</f>
        <v>48185.64</v>
      </c>
    </row>
    <row r="11" spans="2:12" x14ac:dyDescent="0.25">
      <c r="B11" s="19"/>
      <c r="C11" s="12" t="s">
        <v>1</v>
      </c>
      <c r="D11" s="1">
        <v>0</v>
      </c>
      <c r="E11" s="1">
        <v>0</v>
      </c>
      <c r="F11" s="1">
        <v>3.5999999999999996</v>
      </c>
      <c r="G11" s="1">
        <v>0</v>
      </c>
      <c r="H11" s="1">
        <v>82.08</v>
      </c>
      <c r="I11" s="1">
        <v>0</v>
      </c>
      <c r="J11" s="1">
        <v>6.4799999999999995</v>
      </c>
      <c r="K11" s="1">
        <v>35.19</v>
      </c>
      <c r="L11" s="1">
        <f>SUM(Tabela1[[#This Row],[Floresta]:[Lavoura Temporária]])</f>
        <v>127.35</v>
      </c>
    </row>
    <row r="12" spans="2:12" x14ac:dyDescent="0.25">
      <c r="C12" s="12" t="s">
        <v>9</v>
      </c>
      <c r="D12" s="4">
        <f>SUM(D4:D11)</f>
        <v>219182.30999999997</v>
      </c>
      <c r="E12" s="4">
        <f t="shared" ref="E12:K12" si="0">SUM(E4:E11)</f>
        <v>1787.5800000000002</v>
      </c>
      <c r="F12" s="4">
        <f t="shared" si="0"/>
        <v>4812.66</v>
      </c>
      <c r="G12" s="4">
        <f t="shared" si="0"/>
        <v>261.71999999999997</v>
      </c>
      <c r="H12" s="4">
        <f t="shared" si="0"/>
        <v>156689.1</v>
      </c>
      <c r="I12" s="4">
        <f t="shared" si="0"/>
        <v>1327.14</v>
      </c>
      <c r="J12" s="4">
        <f t="shared" si="0"/>
        <v>51001.47</v>
      </c>
      <c r="K12" s="4">
        <f t="shared" si="0"/>
        <v>167.22</v>
      </c>
      <c r="L12" s="4"/>
    </row>
    <row r="14" spans="2:12" x14ac:dyDescent="0.25">
      <c r="D14" s="20">
        <v>2006</v>
      </c>
      <c r="E14" s="20"/>
      <c r="F14" s="20"/>
      <c r="G14" s="20"/>
      <c r="H14" s="20"/>
      <c r="I14" s="20"/>
      <c r="J14" s="20"/>
      <c r="K14" s="20"/>
    </row>
    <row r="15" spans="2:12" x14ac:dyDescent="0.25">
      <c r="C15" s="1" t="s">
        <v>10</v>
      </c>
      <c r="D15" s="10" t="s">
        <v>8</v>
      </c>
      <c r="E15" s="10" t="s">
        <v>7</v>
      </c>
      <c r="F15" s="10" t="s">
        <v>6</v>
      </c>
      <c r="G15" s="10" t="s">
        <v>5</v>
      </c>
      <c r="H15" s="10" t="s">
        <v>4</v>
      </c>
      <c r="I15" s="10" t="s">
        <v>3</v>
      </c>
      <c r="J15" s="10" t="s">
        <v>2</v>
      </c>
      <c r="K15" s="8" t="s">
        <v>1</v>
      </c>
    </row>
    <row r="16" spans="2:12" x14ac:dyDescent="0.25">
      <c r="B16" s="21">
        <v>2011</v>
      </c>
      <c r="C16" s="6" t="s">
        <v>8</v>
      </c>
      <c r="D16" s="7">
        <f>D4/D$12</f>
        <v>0.88215043449446273</v>
      </c>
      <c r="E16" s="7">
        <f t="shared" ref="E16:K16" si="1">E4/E$12</f>
        <v>4.4305709394824285E-3</v>
      </c>
      <c r="F16" s="7">
        <f t="shared" si="1"/>
        <v>4.4862924037850173E-2</v>
      </c>
      <c r="G16" s="7">
        <f t="shared" si="1"/>
        <v>1.5818431911966989E-2</v>
      </c>
      <c r="H16" s="7">
        <f t="shared" si="1"/>
        <v>4.5681480077427207E-2</v>
      </c>
      <c r="I16" s="7">
        <f t="shared" si="1"/>
        <v>6.7815000678150001E-5</v>
      </c>
      <c r="J16" s="7">
        <f t="shared" si="1"/>
        <v>6.7198063114651393E-3</v>
      </c>
      <c r="K16" s="7">
        <f t="shared" si="1"/>
        <v>1.076426264800861E-3</v>
      </c>
    </row>
    <row r="17" spans="2:11" x14ac:dyDescent="0.25">
      <c r="B17" s="21"/>
      <c r="C17" s="6" t="s">
        <v>7</v>
      </c>
      <c r="D17" s="7">
        <f t="shared" ref="D17:K17" si="2">D5/D$12</f>
        <v>3.2028132197347496E-5</v>
      </c>
      <c r="E17" s="7">
        <f t="shared" si="2"/>
        <v>0.92533481019031305</v>
      </c>
      <c r="F17" s="7">
        <f t="shared" si="2"/>
        <v>2.1786288663649622E-2</v>
      </c>
      <c r="G17" s="7">
        <f t="shared" si="2"/>
        <v>6.8775790921595599E-4</v>
      </c>
      <c r="H17" s="7">
        <f t="shared" si="2"/>
        <v>3.8771044061137626E-4</v>
      </c>
      <c r="I17" s="7">
        <f t="shared" si="2"/>
        <v>0</v>
      </c>
      <c r="J17" s="7">
        <f t="shared" si="2"/>
        <v>4.9586806027355677E-4</v>
      </c>
      <c r="K17" s="7">
        <f t="shared" si="2"/>
        <v>0</v>
      </c>
    </row>
    <row r="18" spans="2:11" x14ac:dyDescent="0.25">
      <c r="B18" s="21"/>
      <c r="C18" s="6" t="s">
        <v>6</v>
      </c>
      <c r="D18" s="7">
        <f t="shared" ref="D18:K18" si="3">D6/D$12</f>
        <v>8.0193515617204691E-4</v>
      </c>
      <c r="E18" s="7">
        <f t="shared" si="3"/>
        <v>2.7691068371765177E-2</v>
      </c>
      <c r="F18" s="7">
        <f t="shared" si="3"/>
        <v>0.68695066761416768</v>
      </c>
      <c r="G18" s="7">
        <f t="shared" si="3"/>
        <v>0.35591471801925723</v>
      </c>
      <c r="H18" s="7">
        <f t="shared" si="3"/>
        <v>4.0178289364097433E-3</v>
      </c>
      <c r="I18" s="7">
        <f t="shared" si="3"/>
        <v>1.356300013563E-4</v>
      </c>
      <c r="J18" s="7">
        <f t="shared" si="3"/>
        <v>5.0377371475763336E-2</v>
      </c>
      <c r="K18" s="7">
        <f t="shared" si="3"/>
        <v>3.2292787944025833E-2</v>
      </c>
    </row>
    <row r="19" spans="2:11" x14ac:dyDescent="0.25">
      <c r="B19" s="21"/>
      <c r="C19" s="6" t="s">
        <v>5</v>
      </c>
      <c r="D19" s="7">
        <f t="shared" ref="D19:K19" si="4">D7/D$12</f>
        <v>2.2583939369924522E-5</v>
      </c>
      <c r="E19" s="7">
        <f t="shared" si="4"/>
        <v>5.034739703957304E-4</v>
      </c>
      <c r="F19" s="7">
        <f t="shared" si="4"/>
        <v>8.1778060365785249E-2</v>
      </c>
      <c r="G19" s="7">
        <f t="shared" si="4"/>
        <v>0.34112792297111422</v>
      </c>
      <c r="H19" s="7">
        <f t="shared" si="4"/>
        <v>1.2228674489801778E-3</v>
      </c>
      <c r="I19" s="7">
        <f t="shared" si="4"/>
        <v>2.0344500203445002E-4</v>
      </c>
      <c r="J19" s="7">
        <f t="shared" si="4"/>
        <v>3.3051988501507897E-3</v>
      </c>
      <c r="K19" s="7">
        <f t="shared" si="4"/>
        <v>1.6146393972012918E-3</v>
      </c>
    </row>
    <row r="20" spans="2:11" x14ac:dyDescent="0.25">
      <c r="B20" s="21"/>
      <c r="C20" s="6" t="s">
        <v>4</v>
      </c>
      <c r="D20" s="7">
        <f t="shared" ref="D20:K20" si="5">D8/D$12</f>
        <v>0.11615453820155469</v>
      </c>
      <c r="E20" s="7">
        <f t="shared" si="5"/>
        <v>3.6753599838888325E-2</v>
      </c>
      <c r="F20" s="7">
        <f t="shared" si="5"/>
        <v>0.10612634177357221</v>
      </c>
      <c r="G20" s="7">
        <f t="shared" si="5"/>
        <v>0.23418156808803303</v>
      </c>
      <c r="H20" s="7">
        <f t="shared" si="5"/>
        <v>0.94673490370421431</v>
      </c>
      <c r="I20" s="7">
        <f t="shared" si="5"/>
        <v>2.712600027126E-4</v>
      </c>
      <c r="J20" s="7">
        <f t="shared" si="5"/>
        <v>4.2934056606603694E-3</v>
      </c>
      <c r="K20" s="7">
        <f t="shared" si="5"/>
        <v>0.75296017222820233</v>
      </c>
    </row>
    <row r="21" spans="2:11" x14ac:dyDescent="0.25">
      <c r="B21" s="21"/>
      <c r="C21" s="6" t="s">
        <v>3</v>
      </c>
      <c r="D21" s="7">
        <f t="shared" ref="D21:K21" si="6">D9/D$12</f>
        <v>5.4612071567272018E-5</v>
      </c>
      <c r="E21" s="7">
        <f t="shared" si="6"/>
        <v>0</v>
      </c>
      <c r="F21" s="7">
        <f t="shared" si="6"/>
        <v>4.675169241126529E-4</v>
      </c>
      <c r="G21" s="7">
        <f t="shared" si="6"/>
        <v>0</v>
      </c>
      <c r="H21" s="7">
        <f t="shared" si="6"/>
        <v>1.1355608016128753E-3</v>
      </c>
      <c r="I21" s="7">
        <f t="shared" si="6"/>
        <v>0.99898277498982768</v>
      </c>
      <c r="J21" s="7">
        <f t="shared" si="6"/>
        <v>4.2351720450410547E-5</v>
      </c>
      <c r="K21" s="7">
        <f t="shared" si="6"/>
        <v>0</v>
      </c>
    </row>
    <row r="22" spans="2:11" x14ac:dyDescent="0.25">
      <c r="B22" s="21"/>
      <c r="C22" s="6" t="s">
        <v>2</v>
      </c>
      <c r="D22" s="7">
        <f t="shared" ref="D22:K22" si="7">D10/D$12</f>
        <v>7.8386800467610744E-4</v>
      </c>
      <c r="E22" s="7">
        <f t="shared" si="7"/>
        <v>5.2864766891551696E-3</v>
      </c>
      <c r="F22" s="7">
        <f t="shared" si="7"/>
        <v>5.7280173542282237E-2</v>
      </c>
      <c r="G22" s="7">
        <f t="shared" si="7"/>
        <v>5.2269601100412656E-2</v>
      </c>
      <c r="H22" s="7">
        <f t="shared" si="7"/>
        <v>2.9580870654053154E-4</v>
      </c>
      <c r="I22" s="7">
        <f t="shared" si="7"/>
        <v>3.3907500339074996E-4</v>
      </c>
      <c r="J22" s="7">
        <f t="shared" si="7"/>
        <v>0.93463894275988513</v>
      </c>
      <c r="K22" s="7">
        <f t="shared" si="7"/>
        <v>1.6146393972012918E-3</v>
      </c>
    </row>
    <row r="23" spans="2:11" x14ac:dyDescent="0.25">
      <c r="B23" s="21"/>
      <c r="C23" s="6" t="s">
        <v>1</v>
      </c>
      <c r="D23" s="7">
        <f t="shared" ref="D23:K23" si="8">D11/D$12</f>
        <v>0</v>
      </c>
      <c r="E23" s="7">
        <f t="shared" si="8"/>
        <v>0</v>
      </c>
      <c r="F23" s="7">
        <f t="shared" si="8"/>
        <v>7.4802707858024459E-4</v>
      </c>
      <c r="G23" s="7">
        <f t="shared" si="8"/>
        <v>0</v>
      </c>
      <c r="H23" s="7">
        <f t="shared" si="8"/>
        <v>5.2383988420381499E-4</v>
      </c>
      <c r="I23" s="7">
        <f t="shared" si="8"/>
        <v>0</v>
      </c>
      <c r="J23" s="7">
        <f t="shared" si="8"/>
        <v>1.2705516135123163E-4</v>
      </c>
      <c r="K23" s="7">
        <f t="shared" si="8"/>
        <v>0.21044133476856833</v>
      </c>
    </row>
  </sheetData>
  <mergeCells count="4">
    <mergeCell ref="D14:K14"/>
    <mergeCell ref="B16:B23"/>
    <mergeCell ref="B4:B11"/>
    <mergeCell ref="D2:K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21EA-6843-4E5F-8ABD-73E94858D2DB}">
  <dimension ref="B2:L23"/>
  <sheetViews>
    <sheetView workbookViewId="0">
      <selection activeCell="I36" sqref="I36"/>
    </sheetView>
  </sheetViews>
  <sheetFormatPr defaultRowHeight="15" x14ac:dyDescent="0.25"/>
  <cols>
    <col min="3" max="3" width="19.7109375" bestFit="1" customWidth="1"/>
    <col min="4" max="4" width="10.28515625" customWidth="1"/>
    <col min="5" max="5" width="9.140625" customWidth="1"/>
    <col min="6" max="6" width="16.85546875" customWidth="1"/>
    <col min="7" max="7" width="16.28515625" customWidth="1"/>
    <col min="8" max="8" width="11.7109375" customWidth="1"/>
    <col min="9" max="9" width="14.140625" customWidth="1"/>
    <col min="10" max="10" width="7.5703125" customWidth="1"/>
    <col min="11" max="11" width="20.5703125" customWidth="1"/>
    <col min="12" max="12" width="25.5703125" customWidth="1"/>
  </cols>
  <sheetData>
    <row r="2" spans="2:12" x14ac:dyDescent="0.25">
      <c r="D2" s="14">
        <v>2011</v>
      </c>
      <c r="E2" s="15"/>
      <c r="F2" s="15"/>
      <c r="G2" s="15"/>
      <c r="H2" s="15"/>
      <c r="I2" s="15"/>
      <c r="J2" s="15"/>
      <c r="K2" s="16"/>
    </row>
    <row r="3" spans="2:12" x14ac:dyDescent="0.25">
      <c r="C3" s="9" t="s">
        <v>14</v>
      </c>
      <c r="D3" s="10" t="s">
        <v>8</v>
      </c>
      <c r="E3" s="10" t="s">
        <v>7</v>
      </c>
      <c r="F3" s="10" t="s">
        <v>6</v>
      </c>
      <c r="G3" s="10" t="s">
        <v>5</v>
      </c>
      <c r="H3" s="10" t="s">
        <v>4</v>
      </c>
      <c r="I3" s="10" t="s">
        <v>3</v>
      </c>
      <c r="J3" s="10" t="s">
        <v>2</v>
      </c>
      <c r="K3" s="8" t="s">
        <v>1</v>
      </c>
      <c r="L3" s="10" t="s">
        <v>16</v>
      </c>
    </row>
    <row r="4" spans="2:12" x14ac:dyDescent="0.25">
      <c r="B4" s="17">
        <v>2016</v>
      </c>
      <c r="C4" s="11" t="s">
        <v>8</v>
      </c>
      <c r="D4" s="1">
        <v>176080.59</v>
      </c>
      <c r="E4" s="1">
        <v>9.36</v>
      </c>
      <c r="F4" s="1">
        <v>212.76</v>
      </c>
      <c r="G4" s="1">
        <v>6.39</v>
      </c>
      <c r="H4" s="1">
        <v>20991.149999999998</v>
      </c>
      <c r="I4" s="1">
        <v>0.09</v>
      </c>
      <c r="J4" s="1">
        <v>679.94999999999993</v>
      </c>
      <c r="K4" s="1">
        <v>0.18</v>
      </c>
      <c r="L4" s="10">
        <f>SUM(Tabela2[[#This Row],[Floresta]:[Lavoura Temporária]])</f>
        <v>197980.47</v>
      </c>
    </row>
    <row r="5" spans="2:12" x14ac:dyDescent="0.25">
      <c r="B5" s="18"/>
      <c r="C5" s="11" t="s">
        <v>7</v>
      </c>
      <c r="D5" s="1">
        <v>7.56</v>
      </c>
      <c r="E5" s="1">
        <v>1630.08</v>
      </c>
      <c r="F5" s="1">
        <v>144.18</v>
      </c>
      <c r="G5" s="1">
        <v>0.18</v>
      </c>
      <c r="H5" s="1">
        <v>65.88</v>
      </c>
      <c r="I5" s="1">
        <v>0</v>
      </c>
      <c r="J5" s="1">
        <v>46.35</v>
      </c>
      <c r="K5" s="1">
        <v>0</v>
      </c>
      <c r="L5" s="1">
        <f>SUM(Tabela2[[#This Row],[Floresta]:[Lavoura Temporária]])</f>
        <v>1894.23</v>
      </c>
    </row>
    <row r="6" spans="2:12" x14ac:dyDescent="0.25">
      <c r="B6" s="18"/>
      <c r="C6" s="11" t="s">
        <v>6</v>
      </c>
      <c r="D6" s="1">
        <v>5079.0599999999995</v>
      </c>
      <c r="E6" s="1">
        <v>61.919999999999995</v>
      </c>
      <c r="F6" s="1">
        <v>1917.6299999999999</v>
      </c>
      <c r="G6" s="1">
        <v>68.039999999999992</v>
      </c>
      <c r="H6" s="1">
        <v>6838.0199999999995</v>
      </c>
      <c r="I6" s="1">
        <v>0.44999999999999996</v>
      </c>
      <c r="J6" s="1">
        <v>2718.27</v>
      </c>
      <c r="K6" s="1">
        <v>7.56</v>
      </c>
      <c r="L6" s="1">
        <f>SUM(Tabela2[[#This Row],[Floresta]:[Lavoura Temporária]])</f>
        <v>16690.95</v>
      </c>
    </row>
    <row r="7" spans="2:12" x14ac:dyDescent="0.25">
      <c r="B7" s="18"/>
      <c r="C7" s="11" t="s">
        <v>5</v>
      </c>
      <c r="D7" s="1">
        <v>32.49</v>
      </c>
      <c r="E7" s="1">
        <v>4.05</v>
      </c>
      <c r="F7" s="1">
        <v>3546.3599999999997</v>
      </c>
      <c r="G7" s="1">
        <v>694.53</v>
      </c>
      <c r="H7" s="1">
        <v>930.59999999999991</v>
      </c>
      <c r="I7" s="1">
        <v>0</v>
      </c>
      <c r="J7" s="1">
        <v>1864.98</v>
      </c>
      <c r="K7" s="1">
        <v>0</v>
      </c>
      <c r="L7" s="1">
        <f>SUM(Tabela2[[#This Row],[Floresta]:[Lavoura Temporária]])</f>
        <v>7073.0099999999984</v>
      </c>
    </row>
    <row r="8" spans="2:12" x14ac:dyDescent="0.25">
      <c r="B8" s="18"/>
      <c r="C8" s="11" t="s">
        <v>4</v>
      </c>
      <c r="D8" s="1">
        <v>14508.72</v>
      </c>
      <c r="E8" s="1">
        <v>139.22999999999999</v>
      </c>
      <c r="F8" s="1">
        <v>426.96</v>
      </c>
      <c r="G8" s="1">
        <v>45.989999999999995</v>
      </c>
      <c r="H8" s="1">
        <v>140473.88999999998</v>
      </c>
      <c r="I8" s="1">
        <v>0.27</v>
      </c>
      <c r="J8" s="1">
        <v>125.72999999999999</v>
      </c>
      <c r="K8" s="1">
        <v>92.61</v>
      </c>
      <c r="L8" s="1">
        <f>SUM(Tabela2[[#This Row],[Floresta]:[Lavoura Temporária]])</f>
        <v>155813.39999999997</v>
      </c>
    </row>
    <row r="9" spans="2:12" x14ac:dyDescent="0.25">
      <c r="B9" s="18"/>
      <c r="C9" s="11" t="s">
        <v>3</v>
      </c>
      <c r="D9" s="1">
        <v>92.88</v>
      </c>
      <c r="E9" s="1">
        <v>0.09</v>
      </c>
      <c r="F9" s="1">
        <v>0.44999999999999996</v>
      </c>
      <c r="G9" s="1">
        <v>0.09</v>
      </c>
      <c r="H9" s="1">
        <v>921.06</v>
      </c>
      <c r="I9" s="1">
        <v>1515.4199999999998</v>
      </c>
      <c r="J9" s="1">
        <v>0.27</v>
      </c>
      <c r="K9" s="1">
        <v>1.7999999999999998</v>
      </c>
      <c r="L9" s="1">
        <f>SUM(Tabela2[[#This Row],[Floresta]:[Lavoura Temporária]])</f>
        <v>2532.06</v>
      </c>
    </row>
    <row r="10" spans="2:12" x14ac:dyDescent="0.25">
      <c r="B10" s="18"/>
      <c r="C10" s="11" t="s">
        <v>2</v>
      </c>
      <c r="D10" s="1">
        <v>5279.22</v>
      </c>
      <c r="E10" s="1">
        <v>7.47</v>
      </c>
      <c r="F10" s="1">
        <v>577.89</v>
      </c>
      <c r="G10" s="1">
        <v>34.199999999999996</v>
      </c>
      <c r="H10" s="1">
        <v>4561.47</v>
      </c>
      <c r="I10" s="1">
        <v>3.8699999999999997</v>
      </c>
      <c r="J10" s="1">
        <v>42749.729999999996</v>
      </c>
      <c r="K10" s="1">
        <v>15.03</v>
      </c>
      <c r="L10" s="1">
        <f>SUM(Tabela2[[#This Row],[Floresta]:[Lavoura Temporária]])</f>
        <v>53228.88</v>
      </c>
    </row>
    <row r="11" spans="2:12" x14ac:dyDescent="0.25">
      <c r="B11" s="19"/>
      <c r="C11" s="12" t="s">
        <v>1</v>
      </c>
      <c r="D11" s="1">
        <v>0</v>
      </c>
      <c r="E11" s="1">
        <v>0</v>
      </c>
      <c r="F11" s="1">
        <v>2.6999999999999997</v>
      </c>
      <c r="G11" s="1">
        <v>0</v>
      </c>
      <c r="H11" s="1">
        <v>2.9699999999999998</v>
      </c>
      <c r="I11" s="1">
        <v>0</v>
      </c>
      <c r="J11" s="1">
        <v>0.36</v>
      </c>
      <c r="K11" s="1">
        <v>10.17</v>
      </c>
      <c r="L11" s="1">
        <f>SUM(Tabela2[[#This Row],[Floresta]:[Lavoura Temporária]])</f>
        <v>16.2</v>
      </c>
    </row>
    <row r="12" spans="2:12" x14ac:dyDescent="0.25">
      <c r="C12" s="12" t="s">
        <v>15</v>
      </c>
      <c r="D12" s="4">
        <f>SUM(D4:D11)</f>
        <v>201080.52</v>
      </c>
      <c r="E12" s="4">
        <f t="shared" ref="E12:K12" si="0">SUM(E4:E11)</f>
        <v>1852.1999999999998</v>
      </c>
      <c r="F12" s="4">
        <f t="shared" si="0"/>
        <v>6828.9299999999994</v>
      </c>
      <c r="G12" s="4">
        <f t="shared" si="0"/>
        <v>849.42000000000007</v>
      </c>
      <c r="H12" s="4">
        <f t="shared" si="0"/>
        <v>174785.03999999998</v>
      </c>
      <c r="I12" s="4">
        <f t="shared" si="0"/>
        <v>1520.0999999999997</v>
      </c>
      <c r="J12" s="4">
        <f t="shared" si="0"/>
        <v>48185.64</v>
      </c>
      <c r="K12" s="4">
        <f t="shared" si="0"/>
        <v>127.35</v>
      </c>
      <c r="L12" s="4"/>
    </row>
    <row r="14" spans="2:12" x14ac:dyDescent="0.25">
      <c r="D14" s="14">
        <v>2011</v>
      </c>
      <c r="E14" s="15"/>
      <c r="F14" s="15"/>
      <c r="G14" s="15"/>
      <c r="H14" s="15"/>
      <c r="I14" s="15"/>
      <c r="J14" s="15"/>
      <c r="K14" s="16"/>
    </row>
    <row r="15" spans="2:12" x14ac:dyDescent="0.25">
      <c r="C15" s="9" t="s">
        <v>14</v>
      </c>
      <c r="D15" s="10" t="s">
        <v>8</v>
      </c>
      <c r="E15" s="10" t="s">
        <v>7</v>
      </c>
      <c r="F15" s="10" t="s">
        <v>6</v>
      </c>
      <c r="G15" s="10" t="s">
        <v>5</v>
      </c>
      <c r="H15" s="10" t="s">
        <v>4</v>
      </c>
      <c r="I15" s="10" t="s">
        <v>3</v>
      </c>
      <c r="J15" s="10" t="s">
        <v>2</v>
      </c>
      <c r="K15" s="8" t="s">
        <v>1</v>
      </c>
    </row>
    <row r="16" spans="2:12" x14ac:dyDescent="0.25">
      <c r="B16" s="17">
        <v>2016</v>
      </c>
      <c r="C16" s="11" t="s">
        <v>8</v>
      </c>
      <c r="D16" s="7">
        <f>D4/D$12</f>
        <v>0.87567204421392986</v>
      </c>
      <c r="E16" s="7">
        <f t="shared" ref="E16:K16" si="1">E4/E$12</f>
        <v>5.0534499514091353E-3</v>
      </c>
      <c r="F16" s="7">
        <f t="shared" si="1"/>
        <v>3.1155686176311665E-2</v>
      </c>
      <c r="G16" s="7">
        <f t="shared" si="1"/>
        <v>7.5227802500529763E-3</v>
      </c>
      <c r="H16" s="7">
        <f t="shared" si="1"/>
        <v>0.12009694880065251</v>
      </c>
      <c r="I16" s="7">
        <f t="shared" si="1"/>
        <v>5.9206631142687994E-5</v>
      </c>
      <c r="J16" s="7">
        <f t="shared" si="1"/>
        <v>1.411105051214428E-2</v>
      </c>
      <c r="K16" s="7">
        <f t="shared" si="1"/>
        <v>1.4134275618374558E-3</v>
      </c>
    </row>
    <row r="17" spans="2:11" x14ac:dyDescent="0.25">
      <c r="B17" s="18"/>
      <c r="C17" s="11" t="s">
        <v>7</v>
      </c>
      <c r="D17" s="7">
        <f t="shared" ref="D17:K17" si="2">D5/D$12</f>
        <v>3.7596879100969107E-5</v>
      </c>
      <c r="E17" s="7">
        <f t="shared" si="2"/>
        <v>0.88007774538386785</v>
      </c>
      <c r="F17" s="7">
        <f t="shared" si="2"/>
        <v>2.1113117281916789E-2</v>
      </c>
      <c r="G17" s="7">
        <f t="shared" si="2"/>
        <v>2.1190930281839371E-4</v>
      </c>
      <c r="H17" s="7">
        <f t="shared" si="2"/>
        <v>3.7692013000654979E-4</v>
      </c>
      <c r="I17" s="7">
        <f t="shared" si="2"/>
        <v>0</v>
      </c>
      <c r="J17" s="7">
        <f t="shared" si="2"/>
        <v>9.6190483305814761E-4</v>
      </c>
      <c r="K17" s="7">
        <f t="shared" si="2"/>
        <v>0</v>
      </c>
    </row>
    <row r="18" spans="2:11" x14ac:dyDescent="0.25">
      <c r="B18" s="18"/>
      <c r="C18" s="11" t="s">
        <v>6</v>
      </c>
      <c r="D18" s="7">
        <f t="shared" ref="D18:K18" si="3">D6/D$12</f>
        <v>2.5258836609334409E-2</v>
      </c>
      <c r="E18" s="7">
        <f t="shared" si="3"/>
        <v>3.3430515063168124E-2</v>
      </c>
      <c r="F18" s="7">
        <f t="shared" si="3"/>
        <v>0.28080973153920163</v>
      </c>
      <c r="G18" s="7">
        <f t="shared" si="3"/>
        <v>8.0101716465352815E-2</v>
      </c>
      <c r="H18" s="7">
        <f t="shared" si="3"/>
        <v>3.9122455789122455E-2</v>
      </c>
      <c r="I18" s="7">
        <f t="shared" si="3"/>
        <v>2.9603315571343993E-4</v>
      </c>
      <c r="J18" s="7">
        <f t="shared" si="3"/>
        <v>5.6412449850204334E-2</v>
      </c>
      <c r="K18" s="7">
        <f t="shared" si="3"/>
        <v>5.9363957597173146E-2</v>
      </c>
    </row>
    <row r="19" spans="2:11" x14ac:dyDescent="0.25">
      <c r="B19" s="18"/>
      <c r="C19" s="11" t="s">
        <v>5</v>
      </c>
      <c r="D19" s="7">
        <f t="shared" ref="D19:K19" si="4">D7/D$12</f>
        <v>1.6157706375535534E-4</v>
      </c>
      <c r="E19" s="7">
        <f t="shared" si="4"/>
        <v>2.1865889212827989E-3</v>
      </c>
      <c r="F19" s="7">
        <f t="shared" si="4"/>
        <v>0.51931415316894447</v>
      </c>
      <c r="G19" s="7">
        <f t="shared" si="4"/>
        <v>0.81765204492477206</v>
      </c>
      <c r="H19" s="7">
        <f t="shared" si="4"/>
        <v>5.3242542954477111E-3</v>
      </c>
      <c r="I19" s="7">
        <f t="shared" si="4"/>
        <v>0</v>
      </c>
      <c r="J19" s="7">
        <f t="shared" si="4"/>
        <v>3.8704062040060071E-2</v>
      </c>
      <c r="K19" s="7">
        <f t="shared" si="4"/>
        <v>0</v>
      </c>
    </row>
    <row r="20" spans="2:11" x14ac:dyDescent="0.25">
      <c r="B20" s="18"/>
      <c r="C20" s="11" t="s">
        <v>4</v>
      </c>
      <c r="D20" s="7">
        <f t="shared" ref="D20:K20" si="5">D8/D$12</f>
        <v>7.2153781977488424E-2</v>
      </c>
      <c r="E20" s="7">
        <f t="shared" si="5"/>
        <v>7.5170068027210893E-2</v>
      </c>
      <c r="F20" s="7">
        <f t="shared" si="5"/>
        <v>6.2522239940957083E-2</v>
      </c>
      <c r="G20" s="7">
        <f t="shared" si="5"/>
        <v>5.4142826870099588E-2</v>
      </c>
      <c r="H20" s="7">
        <f t="shared" si="5"/>
        <v>0.80369515606141118</v>
      </c>
      <c r="I20" s="7">
        <f t="shared" si="5"/>
        <v>1.7761989342806399E-4</v>
      </c>
      <c r="J20" s="7">
        <f t="shared" si="5"/>
        <v>2.6092835956936546E-3</v>
      </c>
      <c r="K20" s="7">
        <f t="shared" si="5"/>
        <v>0.72720848056537102</v>
      </c>
    </row>
    <row r="21" spans="2:11" x14ac:dyDescent="0.25">
      <c r="B21" s="18"/>
      <c r="C21" s="11" t="s">
        <v>3</v>
      </c>
      <c r="D21" s="7">
        <f t="shared" ref="D21:K21" si="6">D9/D$12</f>
        <v>4.6190451466904898E-4</v>
      </c>
      <c r="E21" s="7">
        <f t="shared" si="6"/>
        <v>4.8590864917395531E-5</v>
      </c>
      <c r="F21" s="7">
        <f t="shared" si="6"/>
        <v>6.5896121354297089E-5</v>
      </c>
      <c r="G21" s="7">
        <f t="shared" si="6"/>
        <v>1.0595465140919686E-4</v>
      </c>
      <c r="H21" s="7">
        <f t="shared" si="6"/>
        <v>5.2696729651462168E-3</v>
      </c>
      <c r="I21" s="7">
        <f t="shared" si="6"/>
        <v>0.99692125518058028</v>
      </c>
      <c r="J21" s="7">
        <f t="shared" si="6"/>
        <v>5.6033291246105689E-6</v>
      </c>
      <c r="K21" s="7">
        <f t="shared" si="6"/>
        <v>1.4134275618374558E-2</v>
      </c>
    </row>
    <row r="22" spans="2:11" x14ac:dyDescent="0.25">
      <c r="B22" s="18"/>
      <c r="C22" s="11" t="s">
        <v>2</v>
      </c>
      <c r="D22" s="7">
        <f t="shared" ref="D22:K22" si="7">D10/D$12</f>
        <v>2.6254258741721975E-2</v>
      </c>
      <c r="E22" s="7">
        <f t="shared" si="7"/>
        <v>4.0330417881438291E-3</v>
      </c>
      <c r="F22" s="7">
        <f t="shared" si="7"/>
        <v>8.4623799043188327E-2</v>
      </c>
      <c r="G22" s="7">
        <f t="shared" si="7"/>
        <v>4.0262767535494799E-2</v>
      </c>
      <c r="H22" s="7">
        <f t="shared" si="7"/>
        <v>2.6097599657270442E-2</v>
      </c>
      <c r="I22" s="7">
        <f t="shared" si="7"/>
        <v>2.5458851391355836E-3</v>
      </c>
      <c r="J22" s="7">
        <f t="shared" si="7"/>
        <v>0.8871881747342153</v>
      </c>
      <c r="K22" s="7">
        <f t="shared" si="7"/>
        <v>0.11802120141342756</v>
      </c>
    </row>
    <row r="23" spans="2:11" x14ac:dyDescent="0.25">
      <c r="B23" s="19"/>
      <c r="C23" s="12" t="s">
        <v>1</v>
      </c>
      <c r="D23" s="7">
        <f t="shared" ref="D23:K23" si="8">D11/D$12</f>
        <v>0</v>
      </c>
      <c r="E23" s="7">
        <f t="shared" si="8"/>
        <v>0</v>
      </c>
      <c r="F23" s="7">
        <f t="shared" si="8"/>
        <v>3.953767281257825E-4</v>
      </c>
      <c r="G23" s="7">
        <f t="shared" si="8"/>
        <v>0</v>
      </c>
      <c r="H23" s="7">
        <f t="shared" si="8"/>
        <v>1.6992300942918229E-5</v>
      </c>
      <c r="I23" s="7">
        <f t="shared" si="8"/>
        <v>0</v>
      </c>
      <c r="J23" s="7">
        <f t="shared" si="8"/>
        <v>7.4711054994807582E-6</v>
      </c>
      <c r="K23" s="7">
        <f t="shared" si="8"/>
        <v>7.9858657243816258E-2</v>
      </c>
    </row>
  </sheetData>
  <mergeCells count="4">
    <mergeCell ref="B4:B11"/>
    <mergeCell ref="D2:K2"/>
    <mergeCell ref="D14:K14"/>
    <mergeCell ref="B16:B2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5617-B486-4D1A-BA86-52CD136E0BFC}">
  <dimension ref="B2:L23"/>
  <sheetViews>
    <sheetView workbookViewId="0">
      <selection activeCell="J27" sqref="J27"/>
    </sheetView>
  </sheetViews>
  <sheetFormatPr defaultRowHeight="15" x14ac:dyDescent="0.25"/>
  <cols>
    <col min="3" max="3" width="20.5703125" bestFit="1" customWidth="1"/>
    <col min="4" max="4" width="10.28515625" customWidth="1"/>
    <col min="5" max="5" width="9.140625" customWidth="1"/>
    <col min="6" max="6" width="16.85546875" customWidth="1"/>
    <col min="7" max="7" width="16.28515625" customWidth="1"/>
    <col min="8" max="8" width="11.7109375" customWidth="1"/>
    <col min="9" max="9" width="14.140625" customWidth="1"/>
    <col min="10" max="10" width="7.5703125" customWidth="1"/>
    <col min="11" max="11" width="20.5703125" customWidth="1"/>
    <col min="12" max="12" width="24.42578125" customWidth="1"/>
  </cols>
  <sheetData>
    <row r="2" spans="2:12" x14ac:dyDescent="0.25">
      <c r="D2" s="14">
        <v>2016</v>
      </c>
      <c r="E2" s="15"/>
      <c r="F2" s="15"/>
      <c r="G2" s="15"/>
      <c r="H2" s="15"/>
      <c r="I2" s="15"/>
      <c r="J2" s="15"/>
      <c r="K2" s="16"/>
    </row>
    <row r="3" spans="2:12" x14ac:dyDescent="0.25">
      <c r="C3" s="1" t="s">
        <v>14</v>
      </c>
      <c r="D3" s="1" t="s">
        <v>8</v>
      </c>
      <c r="E3" s="1" t="s">
        <v>7</v>
      </c>
      <c r="F3" s="1" t="s">
        <v>6</v>
      </c>
      <c r="G3" s="1" t="s">
        <v>5</v>
      </c>
      <c r="H3" s="1" t="s">
        <v>4</v>
      </c>
      <c r="I3" s="1" t="s">
        <v>3</v>
      </c>
      <c r="J3" s="1" t="s">
        <v>2</v>
      </c>
      <c r="K3" s="1" t="s">
        <v>1</v>
      </c>
      <c r="L3" s="10" t="s">
        <v>17</v>
      </c>
    </row>
    <row r="4" spans="2:12" ht="15" customHeight="1" x14ac:dyDescent="0.25">
      <c r="B4" s="21">
        <v>2021</v>
      </c>
      <c r="C4" s="6" t="s">
        <v>8</v>
      </c>
      <c r="D4" s="1">
        <v>177264.63</v>
      </c>
      <c r="E4" s="1">
        <v>11.25</v>
      </c>
      <c r="F4" s="1">
        <v>1175.6699999999998</v>
      </c>
      <c r="G4" s="1">
        <v>40.049999999999997</v>
      </c>
      <c r="H4" s="1">
        <v>13075.83</v>
      </c>
      <c r="I4" s="1">
        <v>0.54</v>
      </c>
      <c r="J4" s="1">
        <v>370.53</v>
      </c>
      <c r="K4" s="1">
        <v>0</v>
      </c>
      <c r="L4" s="10">
        <f>SUM(Tabela5[[#This Row],[Floresta]:[Lavoura Temporária]])</f>
        <v>191938.5</v>
      </c>
    </row>
    <row r="5" spans="2:12" x14ac:dyDescent="0.25">
      <c r="B5" s="21"/>
      <c r="C5" s="6" t="s">
        <v>7</v>
      </c>
      <c r="D5" s="1">
        <v>7.29</v>
      </c>
      <c r="E5" s="1">
        <v>1619.37</v>
      </c>
      <c r="F5" s="1">
        <v>104.67</v>
      </c>
      <c r="G5" s="1">
        <v>7.56</v>
      </c>
      <c r="H5" s="1">
        <v>180</v>
      </c>
      <c r="I5" s="1">
        <v>0.09</v>
      </c>
      <c r="J5" s="1">
        <v>19.259999999999998</v>
      </c>
      <c r="K5" s="1">
        <v>0</v>
      </c>
      <c r="L5" s="1">
        <f>SUM(Tabela5[[#This Row],[Floresta]:[Lavoura Temporária]])</f>
        <v>1938.2399999999998</v>
      </c>
    </row>
    <row r="6" spans="2:12" x14ac:dyDescent="0.25">
      <c r="B6" s="21"/>
      <c r="C6" s="6" t="s">
        <v>6</v>
      </c>
      <c r="D6" s="1">
        <v>1084.68</v>
      </c>
      <c r="E6" s="1">
        <v>79.83</v>
      </c>
      <c r="F6" s="1">
        <v>4748.76</v>
      </c>
      <c r="G6" s="1">
        <v>2375.19</v>
      </c>
      <c r="H6" s="1">
        <v>759.95999999999992</v>
      </c>
      <c r="I6" s="1">
        <v>0.54</v>
      </c>
      <c r="J6" s="1">
        <v>859.14</v>
      </c>
      <c r="K6" s="1">
        <v>5.13</v>
      </c>
      <c r="L6" s="1">
        <f>SUM(Tabela5[[#This Row],[Floresta]:[Lavoura Temporária]])</f>
        <v>9913.23</v>
      </c>
    </row>
    <row r="7" spans="2:12" x14ac:dyDescent="0.25">
      <c r="B7" s="21"/>
      <c r="C7" s="6" t="s">
        <v>5</v>
      </c>
      <c r="D7" s="1">
        <v>24.84</v>
      </c>
      <c r="E7" s="1">
        <v>3.51</v>
      </c>
      <c r="F7" s="1">
        <v>571.59</v>
      </c>
      <c r="G7" s="1">
        <v>4524.66</v>
      </c>
      <c r="H7" s="1">
        <v>1292.1299999999999</v>
      </c>
      <c r="I7" s="1">
        <v>0.09</v>
      </c>
      <c r="J7" s="1">
        <v>143.72999999999999</v>
      </c>
      <c r="K7" s="1">
        <v>0.36</v>
      </c>
      <c r="L7" s="1">
        <f>SUM(Tabela5[[#This Row],[Floresta]:[Lavoura Temporária]])</f>
        <v>6560.91</v>
      </c>
    </row>
    <row r="8" spans="2:12" x14ac:dyDescent="0.25">
      <c r="B8" s="21"/>
      <c r="C8" s="6" t="s">
        <v>4</v>
      </c>
      <c r="D8" s="1">
        <v>18759.239999999998</v>
      </c>
      <c r="E8" s="1">
        <v>73.89</v>
      </c>
      <c r="F8" s="1">
        <v>521.64</v>
      </c>
      <c r="G8" s="1">
        <v>52.65</v>
      </c>
      <c r="H8" s="1">
        <v>140187.32999999999</v>
      </c>
      <c r="I8" s="1">
        <v>0.36</v>
      </c>
      <c r="J8" s="1">
        <v>42.48</v>
      </c>
      <c r="K8" s="1">
        <v>2.79</v>
      </c>
      <c r="L8" s="1">
        <f>SUM(Tabela5[[#This Row],[Floresta]:[Lavoura Temporária]])</f>
        <v>159640.38</v>
      </c>
    </row>
    <row r="9" spans="2:12" x14ac:dyDescent="0.25">
      <c r="B9" s="21"/>
      <c r="C9" s="6" t="s">
        <v>3</v>
      </c>
      <c r="D9" s="1">
        <v>2.4299999999999997</v>
      </c>
      <c r="E9" s="1">
        <v>0</v>
      </c>
      <c r="F9" s="1">
        <v>0.44999999999999996</v>
      </c>
      <c r="G9" s="1">
        <v>0</v>
      </c>
      <c r="H9" s="1">
        <v>166.59</v>
      </c>
      <c r="I9" s="1">
        <v>2525.4</v>
      </c>
      <c r="J9" s="1">
        <v>3.15</v>
      </c>
      <c r="K9" s="1">
        <v>0</v>
      </c>
      <c r="L9" s="1">
        <f>SUM(Tabela5[[#This Row],[Floresta]:[Lavoura Temporária]])</f>
        <v>2698.02</v>
      </c>
    </row>
    <row r="10" spans="2:12" x14ac:dyDescent="0.25">
      <c r="B10" s="21"/>
      <c r="C10" s="6" t="s">
        <v>2</v>
      </c>
      <c r="D10" s="1">
        <v>836.73</v>
      </c>
      <c r="E10" s="1">
        <v>106.38</v>
      </c>
      <c r="F10" s="1">
        <v>9566.82</v>
      </c>
      <c r="G10" s="1">
        <v>72.63</v>
      </c>
      <c r="H10" s="1">
        <v>124.02</v>
      </c>
      <c r="I10" s="1">
        <v>5.04</v>
      </c>
      <c r="J10" s="1">
        <v>51790.32</v>
      </c>
      <c r="K10" s="1">
        <v>3.8699999999999997</v>
      </c>
      <c r="L10" s="1">
        <f>SUM(Tabela5[[#This Row],[Floresta]:[Lavoura Temporária]])</f>
        <v>62505.810000000005</v>
      </c>
    </row>
    <row r="11" spans="2:12" x14ac:dyDescent="0.25">
      <c r="B11" s="21"/>
      <c r="C11" s="6" t="s">
        <v>1</v>
      </c>
      <c r="D11" s="1">
        <v>0.63</v>
      </c>
      <c r="E11" s="1">
        <v>0</v>
      </c>
      <c r="F11" s="1">
        <v>0.89999999999999991</v>
      </c>
      <c r="G11" s="1">
        <v>0</v>
      </c>
      <c r="H11" s="1">
        <v>16.559999999999999</v>
      </c>
      <c r="I11" s="1">
        <v>0</v>
      </c>
      <c r="J11" s="1">
        <v>0.27</v>
      </c>
      <c r="K11" s="1">
        <v>4.05</v>
      </c>
      <c r="L11" s="1">
        <f>SUM(Tabela5[[#This Row],[Floresta]:[Lavoura Temporária]])</f>
        <v>22.41</v>
      </c>
    </row>
    <row r="12" spans="2:12" x14ac:dyDescent="0.25">
      <c r="C12" s="13" t="s">
        <v>16</v>
      </c>
      <c r="D12" s="4">
        <f>SUM(D4:D11)</f>
        <v>197980.47</v>
      </c>
      <c r="E12" s="4">
        <f t="shared" ref="E12:K12" si="0">SUM(E4:E11)</f>
        <v>1894.23</v>
      </c>
      <c r="F12" s="4">
        <f t="shared" si="0"/>
        <v>16690.5</v>
      </c>
      <c r="G12" s="4">
        <f t="shared" si="0"/>
        <v>7072.74</v>
      </c>
      <c r="H12" s="4">
        <f t="shared" si="0"/>
        <v>155802.41999999998</v>
      </c>
      <c r="I12" s="4">
        <f t="shared" si="0"/>
        <v>2532.06</v>
      </c>
      <c r="J12" s="4">
        <f t="shared" si="0"/>
        <v>53228.88</v>
      </c>
      <c r="K12" s="4">
        <f t="shared" si="0"/>
        <v>16.2</v>
      </c>
      <c r="L12" s="4"/>
    </row>
    <row r="14" spans="2:12" x14ac:dyDescent="0.25">
      <c r="D14" s="14">
        <v>2016</v>
      </c>
      <c r="E14" s="15"/>
      <c r="F14" s="15"/>
      <c r="G14" s="15"/>
      <c r="H14" s="15"/>
      <c r="I14" s="15"/>
      <c r="J14" s="15"/>
      <c r="K14" s="16"/>
    </row>
    <row r="15" spans="2:12" x14ac:dyDescent="0.25">
      <c r="C15" s="1" t="s">
        <v>14</v>
      </c>
      <c r="D15" s="1" t="s">
        <v>8</v>
      </c>
      <c r="E15" s="1" t="s">
        <v>7</v>
      </c>
      <c r="F15" s="1" t="s">
        <v>6</v>
      </c>
      <c r="G15" s="1" t="s">
        <v>5</v>
      </c>
      <c r="H15" s="1" t="s">
        <v>4</v>
      </c>
      <c r="I15" s="1" t="s">
        <v>3</v>
      </c>
      <c r="J15" s="1" t="s">
        <v>2</v>
      </c>
      <c r="K15" s="1" t="s">
        <v>1</v>
      </c>
    </row>
    <row r="16" spans="2:12" x14ac:dyDescent="0.25">
      <c r="B16" s="21">
        <v>2021</v>
      </c>
      <c r="C16" s="6" t="s">
        <v>8</v>
      </c>
      <c r="D16" s="7">
        <f>D4/D$12</f>
        <v>0.89536422456215004</v>
      </c>
      <c r="E16" s="7">
        <f t="shared" ref="E16:K16" si="1">E4/E$12</f>
        <v>5.939088706228916E-3</v>
      </c>
      <c r="F16" s="7">
        <f t="shared" si="1"/>
        <v>7.043947155567537E-2</v>
      </c>
      <c r="G16" s="7">
        <f t="shared" si="1"/>
        <v>5.6625862112844524E-3</v>
      </c>
      <c r="H16" s="7">
        <f t="shared" si="1"/>
        <v>8.3925718226969787E-2</v>
      </c>
      <c r="I16" s="7">
        <f t="shared" si="1"/>
        <v>2.1326508850501175E-4</v>
      </c>
      <c r="J16" s="7">
        <f t="shared" si="1"/>
        <v>6.9610707570777362E-3</v>
      </c>
      <c r="K16" s="7">
        <f t="shared" si="1"/>
        <v>0</v>
      </c>
    </row>
    <row r="17" spans="2:11" x14ac:dyDescent="0.25">
      <c r="B17" s="21"/>
      <c r="C17" s="6" t="s">
        <v>7</v>
      </c>
      <c r="D17" s="7">
        <f t="shared" ref="D17:K23" si="2">D5/D$12</f>
        <v>3.6821813787996359E-5</v>
      </c>
      <c r="E17" s="7">
        <f t="shared" si="2"/>
        <v>0.85489618472941509</v>
      </c>
      <c r="F17" s="7">
        <f t="shared" si="2"/>
        <v>6.2712321380425989E-3</v>
      </c>
      <c r="G17" s="7">
        <f t="shared" si="2"/>
        <v>1.0688926780851552E-3</v>
      </c>
      <c r="H17" s="7">
        <f t="shared" si="2"/>
        <v>1.1553093976332334E-3</v>
      </c>
      <c r="I17" s="7">
        <f t="shared" si="2"/>
        <v>3.5544181417501956E-5</v>
      </c>
      <c r="J17" s="7">
        <f t="shared" si="2"/>
        <v>3.6183365120588673E-4</v>
      </c>
      <c r="K17" s="7">
        <f t="shared" si="2"/>
        <v>0</v>
      </c>
    </row>
    <row r="18" spans="2:11" x14ac:dyDescent="0.25">
      <c r="B18" s="21"/>
      <c r="C18" s="6" t="s">
        <v>6</v>
      </c>
      <c r="D18" s="7">
        <f t="shared" si="2"/>
        <v>5.4787222194189154E-3</v>
      </c>
      <c r="E18" s="7">
        <f t="shared" si="2"/>
        <v>4.2143773459400388E-2</v>
      </c>
      <c r="F18" s="7">
        <f t="shared" si="2"/>
        <v>0.28451873820436779</v>
      </c>
      <c r="G18" s="7">
        <f t="shared" si="2"/>
        <v>0.33582317461125394</v>
      </c>
      <c r="H18" s="7">
        <f t="shared" si="2"/>
        <v>4.8777162768075108E-3</v>
      </c>
      <c r="I18" s="7">
        <f t="shared" si="2"/>
        <v>2.1326508850501175E-4</v>
      </c>
      <c r="J18" s="7">
        <f t="shared" si="2"/>
        <v>1.6140486142109323E-2</v>
      </c>
      <c r="K18" s="7">
        <f t="shared" si="2"/>
        <v>0.31666666666666665</v>
      </c>
    </row>
    <row r="19" spans="2:11" x14ac:dyDescent="0.25">
      <c r="B19" s="21"/>
      <c r="C19" s="6" t="s">
        <v>5</v>
      </c>
      <c r="D19" s="7">
        <f t="shared" si="2"/>
        <v>1.2546692105539501E-4</v>
      </c>
      <c r="E19" s="7">
        <f t="shared" si="2"/>
        <v>1.8529956763434217E-3</v>
      </c>
      <c r="F19" s="7">
        <f t="shared" si="2"/>
        <v>3.4246427608519821E-2</v>
      </c>
      <c r="G19" s="7">
        <f t="shared" si="2"/>
        <v>0.63973226783396531</v>
      </c>
      <c r="H19" s="7">
        <f t="shared" si="2"/>
        <v>8.2933885109101636E-3</v>
      </c>
      <c r="I19" s="7">
        <f t="shared" si="2"/>
        <v>3.5544181417501956E-5</v>
      </c>
      <c r="J19" s="7">
        <f t="shared" si="2"/>
        <v>2.7002258924102855E-3</v>
      </c>
      <c r="K19" s="7">
        <f t="shared" si="2"/>
        <v>2.2222222222222223E-2</v>
      </c>
    </row>
    <row r="20" spans="2:11" x14ac:dyDescent="0.25">
      <c r="B20" s="21"/>
      <c r="C20" s="6" t="s">
        <v>4</v>
      </c>
      <c r="D20" s="7">
        <f t="shared" si="2"/>
        <v>9.4752982453269241E-2</v>
      </c>
      <c r="E20" s="7">
        <f t="shared" si="2"/>
        <v>3.9007934622511523E-2</v>
      </c>
      <c r="F20" s="7">
        <f t="shared" si="2"/>
        <v>3.1253707198705849E-2</v>
      </c>
      <c r="G20" s="7">
        <f t="shared" si="2"/>
        <v>7.4440740080930446E-3</v>
      </c>
      <c r="H20" s="7">
        <f t="shared" si="2"/>
        <v>0.89977633210061825</v>
      </c>
      <c r="I20" s="7">
        <f t="shared" si="2"/>
        <v>1.4217672567000782E-4</v>
      </c>
      <c r="J20" s="7">
        <f t="shared" si="2"/>
        <v>7.9806300639803055E-4</v>
      </c>
      <c r="K20" s="7">
        <f t="shared" si="2"/>
        <v>0.17222222222222222</v>
      </c>
    </row>
    <row r="21" spans="2:11" x14ac:dyDescent="0.25">
      <c r="B21" s="21"/>
      <c r="C21" s="6" t="s">
        <v>3</v>
      </c>
      <c r="D21" s="7">
        <f t="shared" si="2"/>
        <v>1.2273937929332119E-5</v>
      </c>
      <c r="E21" s="7">
        <f t="shared" si="2"/>
        <v>0</v>
      </c>
      <c r="F21" s="7">
        <f t="shared" si="2"/>
        <v>2.696144513345915E-5</v>
      </c>
      <c r="G21" s="7">
        <f t="shared" si="2"/>
        <v>0</v>
      </c>
      <c r="H21" s="7">
        <f t="shared" si="2"/>
        <v>1.0692388475095575E-3</v>
      </c>
      <c r="I21" s="7">
        <f t="shared" si="2"/>
        <v>0.99736973057510492</v>
      </c>
      <c r="J21" s="7">
        <f t="shared" si="2"/>
        <v>5.9178400898159045E-5</v>
      </c>
      <c r="K21" s="7">
        <f t="shared" si="2"/>
        <v>0</v>
      </c>
    </row>
    <row r="22" spans="2:11" x14ac:dyDescent="0.25">
      <c r="B22" s="21"/>
      <c r="C22" s="6" t="s">
        <v>2</v>
      </c>
      <c r="D22" s="7">
        <f t="shared" si="2"/>
        <v>4.2263259603333601E-3</v>
      </c>
      <c r="E22" s="7">
        <f t="shared" si="2"/>
        <v>5.6160022806100628E-2</v>
      </c>
      <c r="F22" s="7">
        <f t="shared" si="2"/>
        <v>0.57318953895928815</v>
      </c>
      <c r="G22" s="7">
        <f t="shared" si="2"/>
        <v>1.0269004657318098E-2</v>
      </c>
      <c r="H22" s="7">
        <f t="shared" si="2"/>
        <v>7.9600817496929769E-4</v>
      </c>
      <c r="I22" s="7">
        <f t="shared" si="2"/>
        <v>1.9904741593801097E-3</v>
      </c>
      <c r="J22" s="7">
        <f t="shared" si="2"/>
        <v>0.9729740697155379</v>
      </c>
      <c r="K22" s="7">
        <f t="shared" si="2"/>
        <v>0.23888888888888887</v>
      </c>
    </row>
    <row r="23" spans="2:11" x14ac:dyDescent="0.25">
      <c r="B23" s="21"/>
      <c r="C23" s="6" t="s">
        <v>1</v>
      </c>
      <c r="D23" s="7">
        <f t="shared" si="2"/>
        <v>3.1821320557527721E-6</v>
      </c>
      <c r="E23" s="7">
        <f t="shared" si="2"/>
        <v>0</v>
      </c>
      <c r="F23" s="7">
        <f t="shared" si="2"/>
        <v>5.3922890266918301E-5</v>
      </c>
      <c r="G23" s="7">
        <f t="shared" si="2"/>
        <v>0</v>
      </c>
      <c r="H23" s="7">
        <f t="shared" si="2"/>
        <v>1.0628846458225745E-4</v>
      </c>
      <c r="I23" s="7">
        <f t="shared" si="2"/>
        <v>0</v>
      </c>
      <c r="J23" s="7">
        <f t="shared" si="2"/>
        <v>5.0724343626993475E-6</v>
      </c>
      <c r="K23" s="7">
        <f t="shared" si="2"/>
        <v>0.25</v>
      </c>
    </row>
  </sheetData>
  <mergeCells count="4">
    <mergeCell ref="B4:B11"/>
    <mergeCell ref="D2:K2"/>
    <mergeCell ref="D14:K14"/>
    <mergeCell ref="B16:B2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73DC-419E-489D-82DF-2E4AA2D695D3}">
  <dimension ref="B2:N23"/>
  <sheetViews>
    <sheetView workbookViewId="0">
      <selection activeCell="L29" sqref="L29"/>
    </sheetView>
  </sheetViews>
  <sheetFormatPr defaultRowHeight="15" x14ac:dyDescent="0.25"/>
  <cols>
    <col min="3" max="3" width="18.7109375" bestFit="1" customWidth="1"/>
    <col min="4" max="4" width="13.42578125" customWidth="1"/>
    <col min="5" max="5" width="20.7109375" customWidth="1"/>
    <col min="6" max="6" width="10.5703125" customWidth="1"/>
    <col min="7" max="7" width="16.85546875" customWidth="1"/>
    <col min="8" max="8" width="18.42578125" customWidth="1"/>
    <col min="9" max="9" width="13" customWidth="1"/>
    <col min="10" max="10" width="16.7109375" customWidth="1"/>
    <col min="11" max="11" width="10.85546875" customWidth="1"/>
    <col min="12" max="12" width="18.7109375" customWidth="1"/>
    <col min="13" max="13" width="21.85546875" customWidth="1"/>
    <col min="14" max="14" width="14.42578125" customWidth="1"/>
  </cols>
  <sheetData>
    <row r="2" spans="2:14" x14ac:dyDescent="0.25">
      <c r="D2" s="22">
        <v>2021</v>
      </c>
      <c r="E2" s="22"/>
      <c r="F2" s="22"/>
      <c r="G2" s="22"/>
      <c r="H2" s="22"/>
      <c r="I2" s="22"/>
      <c r="J2" s="22"/>
      <c r="K2" s="22"/>
      <c r="L2" s="22"/>
      <c r="M2" s="22"/>
    </row>
    <row r="3" spans="2:14" x14ac:dyDescent="0.25">
      <c r="C3" s="9" t="s">
        <v>10</v>
      </c>
      <c r="D3" s="10" t="s">
        <v>8</v>
      </c>
      <c r="E3" s="10" t="s">
        <v>13</v>
      </c>
      <c r="F3" s="10" t="s">
        <v>7</v>
      </c>
      <c r="G3" s="10" t="s">
        <v>6</v>
      </c>
      <c r="H3" s="10" t="s">
        <v>5</v>
      </c>
      <c r="I3" s="10" t="s">
        <v>4</v>
      </c>
      <c r="J3" s="10" t="s">
        <v>3</v>
      </c>
      <c r="K3" s="10" t="s">
        <v>2</v>
      </c>
      <c r="L3" s="10" t="s">
        <v>12</v>
      </c>
      <c r="M3" s="8" t="s">
        <v>1</v>
      </c>
      <c r="N3" s="10" t="s">
        <v>18</v>
      </c>
    </row>
    <row r="4" spans="2:14" x14ac:dyDescent="0.25">
      <c r="B4" s="23">
        <v>2022</v>
      </c>
      <c r="C4" s="11" t="s">
        <v>8</v>
      </c>
      <c r="D4" s="1">
        <v>187228.16999999998</v>
      </c>
      <c r="E4" s="1">
        <v>0.27</v>
      </c>
      <c r="F4" s="1">
        <v>7.92</v>
      </c>
      <c r="G4" s="1">
        <v>2023.02</v>
      </c>
      <c r="H4" s="1">
        <v>38.61</v>
      </c>
      <c r="I4" s="1">
        <v>3756.42</v>
      </c>
      <c r="J4" s="1">
        <v>0.44999999999999996</v>
      </c>
      <c r="K4" s="1">
        <v>913.94999999999993</v>
      </c>
      <c r="L4" s="1">
        <v>0</v>
      </c>
      <c r="M4" s="1">
        <v>0.80999999999999994</v>
      </c>
      <c r="N4" s="1">
        <f>SUM(Tabela5[[#This Row],[Floresta]:[Lavoura Temporária]])</f>
        <v>191938.5</v>
      </c>
    </row>
    <row r="5" spans="2:14" x14ac:dyDescent="0.25">
      <c r="B5" s="23"/>
      <c r="C5" s="11" t="s">
        <v>7</v>
      </c>
      <c r="D5" s="1">
        <v>9.81</v>
      </c>
      <c r="E5" s="1">
        <v>0</v>
      </c>
      <c r="F5" s="1">
        <v>1859.49</v>
      </c>
      <c r="G5" s="1">
        <v>107.36999999999999</v>
      </c>
      <c r="H5" s="1">
        <v>5.58</v>
      </c>
      <c r="I5" s="1">
        <v>49.589999999999996</v>
      </c>
      <c r="J5" s="1">
        <v>0</v>
      </c>
      <c r="K5" s="1">
        <v>43.379999999999995</v>
      </c>
      <c r="L5" s="1">
        <v>0</v>
      </c>
      <c r="M5" s="1">
        <v>0</v>
      </c>
      <c r="N5" s="1">
        <f>SUM(Tabela5[[#This Row],[Floresta]:[Lavoura Temporária]])</f>
        <v>1938.2399999999998</v>
      </c>
    </row>
    <row r="6" spans="2:14" x14ac:dyDescent="0.25">
      <c r="B6" s="23"/>
      <c r="C6" s="11" t="s">
        <v>6</v>
      </c>
      <c r="D6" s="1">
        <v>144.98999999999998</v>
      </c>
      <c r="E6" s="1">
        <v>0</v>
      </c>
      <c r="F6" s="1">
        <v>11.79</v>
      </c>
      <c r="G6" s="1">
        <v>2466.1799999999998</v>
      </c>
      <c r="H6" s="1">
        <v>115.02</v>
      </c>
      <c r="I6" s="1">
        <v>75.239999999999995</v>
      </c>
      <c r="J6" s="1">
        <v>0.36</v>
      </c>
      <c r="K6" s="1">
        <v>2209.23</v>
      </c>
      <c r="L6" s="1">
        <v>0</v>
      </c>
      <c r="M6" s="1">
        <v>0</v>
      </c>
      <c r="N6" s="1">
        <f>SUM(Tabela5[[#This Row],[Floresta]:[Lavoura Temporária]])</f>
        <v>9913.23</v>
      </c>
    </row>
    <row r="7" spans="2:14" x14ac:dyDescent="0.25">
      <c r="B7" s="23"/>
      <c r="C7" s="11" t="s">
        <v>5</v>
      </c>
      <c r="D7" s="1">
        <v>48.96</v>
      </c>
      <c r="E7" s="1">
        <v>0.63</v>
      </c>
      <c r="F7" s="1">
        <v>10.62</v>
      </c>
      <c r="G7" s="1">
        <v>1700.9099999999999</v>
      </c>
      <c r="H7" s="1">
        <v>5202</v>
      </c>
      <c r="I7" s="1">
        <v>75.149999999999991</v>
      </c>
      <c r="J7" s="1">
        <v>0.18</v>
      </c>
      <c r="K7" s="1">
        <v>84.06</v>
      </c>
      <c r="L7" s="1">
        <v>0</v>
      </c>
      <c r="M7" s="1">
        <v>0</v>
      </c>
      <c r="N7" s="1">
        <f>SUM(Tabela5[[#This Row],[Floresta]:[Lavoura Temporária]])</f>
        <v>6560.91</v>
      </c>
    </row>
    <row r="8" spans="2:14" x14ac:dyDescent="0.25">
      <c r="B8" s="23"/>
      <c r="C8" s="11" t="s">
        <v>4</v>
      </c>
      <c r="D8" s="1">
        <v>4061.97</v>
      </c>
      <c r="E8" s="1">
        <v>0.44999999999999996</v>
      </c>
      <c r="F8" s="1">
        <v>18.809999999999999</v>
      </c>
      <c r="G8" s="1">
        <v>330.57</v>
      </c>
      <c r="H8" s="1">
        <v>519.84</v>
      </c>
      <c r="I8" s="1">
        <v>155600.1</v>
      </c>
      <c r="J8" s="1">
        <v>1.6199999999999999</v>
      </c>
      <c r="K8" s="1">
        <v>57.69</v>
      </c>
      <c r="L8" s="1">
        <v>0</v>
      </c>
      <c r="M8" s="1">
        <v>0</v>
      </c>
      <c r="N8" s="1">
        <f>SUM(Tabela5[[#This Row],[Floresta]:[Lavoura Temporária]])</f>
        <v>159640.38</v>
      </c>
    </row>
    <row r="9" spans="2:14" x14ac:dyDescent="0.25">
      <c r="B9" s="23"/>
      <c r="C9" s="11" t="s">
        <v>3</v>
      </c>
      <c r="D9" s="1">
        <v>1.44</v>
      </c>
      <c r="E9" s="1">
        <v>0</v>
      </c>
      <c r="F9" s="1">
        <v>0</v>
      </c>
      <c r="G9" s="1">
        <v>0.44999999999999996</v>
      </c>
      <c r="H9" s="1">
        <v>0</v>
      </c>
      <c r="I9" s="1">
        <v>26.459999999999997</v>
      </c>
      <c r="J9" s="1">
        <v>2694.96</v>
      </c>
      <c r="K9" s="1">
        <v>10.17</v>
      </c>
      <c r="L9" s="1">
        <v>0</v>
      </c>
      <c r="M9" s="1">
        <v>0</v>
      </c>
      <c r="N9" s="1">
        <f>SUM(Tabela5[[#This Row],[Floresta]:[Lavoura Temporária]])</f>
        <v>2698.02</v>
      </c>
    </row>
    <row r="10" spans="2:14" x14ac:dyDescent="0.25">
      <c r="B10" s="23"/>
      <c r="C10" s="11" t="s">
        <v>2</v>
      </c>
      <c r="D10" s="1">
        <v>443.07</v>
      </c>
      <c r="E10" s="1">
        <v>0</v>
      </c>
      <c r="F10" s="1">
        <v>29.61</v>
      </c>
      <c r="G10" s="1">
        <v>3281.49</v>
      </c>
      <c r="H10" s="1">
        <v>679.23</v>
      </c>
      <c r="I10" s="1">
        <v>52.019999999999996</v>
      </c>
      <c r="J10" s="1">
        <v>0.36</v>
      </c>
      <c r="K10" s="1">
        <v>59186.52</v>
      </c>
      <c r="L10" s="1">
        <v>0</v>
      </c>
      <c r="M10" s="1">
        <v>0.63</v>
      </c>
      <c r="N10" s="1">
        <f>SUM(Tabela5[[#This Row],[Floresta]:[Lavoura Temporária]])</f>
        <v>62505.810000000005</v>
      </c>
    </row>
    <row r="11" spans="2:14" x14ac:dyDescent="0.25">
      <c r="B11" s="23"/>
      <c r="C11" s="12" t="s">
        <v>1</v>
      </c>
      <c r="D11" s="1">
        <v>0</v>
      </c>
      <c r="E11" s="1">
        <v>0</v>
      </c>
      <c r="F11" s="1">
        <v>0</v>
      </c>
      <c r="G11" s="1">
        <v>1.89</v>
      </c>
      <c r="H11" s="1">
        <v>0</v>
      </c>
      <c r="I11" s="1">
        <v>4.95</v>
      </c>
      <c r="J11" s="1">
        <v>0.09</v>
      </c>
      <c r="K11" s="1">
        <v>0.80999999999999994</v>
      </c>
      <c r="L11" s="1">
        <v>0</v>
      </c>
      <c r="M11" s="1">
        <v>20.97</v>
      </c>
      <c r="N11" s="4">
        <f>SUM(Tabela5[[#This Row],[Floresta]:[Lavoura Temporária]])</f>
        <v>22.41</v>
      </c>
    </row>
    <row r="12" spans="2:14" x14ac:dyDescent="0.25">
      <c r="C12" s="12" t="s">
        <v>17</v>
      </c>
      <c r="D12" s="4">
        <f>SUM(D4:D11)</f>
        <v>191938.40999999997</v>
      </c>
      <c r="E12" s="4">
        <f t="shared" ref="E12:M12" si="0">SUM(E4:E11)</f>
        <v>1.35</v>
      </c>
      <c r="F12" s="4">
        <f t="shared" si="0"/>
        <v>1938.2399999999998</v>
      </c>
      <c r="G12" s="4">
        <f t="shared" si="0"/>
        <v>9911.8799999999974</v>
      </c>
      <c r="H12" s="4">
        <f t="shared" si="0"/>
        <v>6560.2800000000007</v>
      </c>
      <c r="I12" s="4">
        <f t="shared" si="0"/>
        <v>159639.93</v>
      </c>
      <c r="J12" s="4">
        <f t="shared" si="0"/>
        <v>2698.0200000000004</v>
      </c>
      <c r="K12" s="4">
        <f t="shared" si="0"/>
        <v>62505.81</v>
      </c>
      <c r="L12" s="4">
        <f t="shared" si="0"/>
        <v>0</v>
      </c>
      <c r="M12" s="4">
        <f t="shared" si="0"/>
        <v>22.41</v>
      </c>
      <c r="N12" s="4"/>
    </row>
    <row r="14" spans="2:14" x14ac:dyDescent="0.25">
      <c r="D14" s="22">
        <v>2021</v>
      </c>
      <c r="E14" s="22"/>
      <c r="F14" s="22"/>
      <c r="G14" s="22"/>
      <c r="H14" s="22"/>
      <c r="I14" s="22"/>
      <c r="J14" s="22"/>
      <c r="K14" s="22"/>
      <c r="L14" s="22"/>
      <c r="M14" s="22"/>
    </row>
    <row r="15" spans="2:14" x14ac:dyDescent="0.25">
      <c r="C15" s="9" t="s">
        <v>10</v>
      </c>
      <c r="D15" s="10" t="s">
        <v>8</v>
      </c>
      <c r="E15" s="10" t="s">
        <v>13</v>
      </c>
      <c r="F15" s="10" t="s">
        <v>7</v>
      </c>
      <c r="G15" s="10" t="s">
        <v>6</v>
      </c>
      <c r="H15" s="10" t="s">
        <v>5</v>
      </c>
      <c r="I15" s="10" t="s">
        <v>4</v>
      </c>
      <c r="J15" s="10" t="s">
        <v>3</v>
      </c>
      <c r="K15" s="10" t="s">
        <v>2</v>
      </c>
      <c r="L15" s="10" t="s">
        <v>12</v>
      </c>
      <c r="M15" s="8" t="s">
        <v>1</v>
      </c>
    </row>
    <row r="16" spans="2:14" x14ac:dyDescent="0.25">
      <c r="B16" s="23">
        <v>2022</v>
      </c>
      <c r="C16" s="11" t="s">
        <v>8</v>
      </c>
      <c r="D16" s="7">
        <f>D4/D$12</f>
        <v>0.97545962790876517</v>
      </c>
      <c r="E16" s="7">
        <f t="shared" ref="E16:M16" si="1">E4/E$12</f>
        <v>0.2</v>
      </c>
      <c r="F16" s="7">
        <f t="shared" si="1"/>
        <v>4.0861812778603271E-3</v>
      </c>
      <c r="G16" s="7">
        <f t="shared" si="1"/>
        <v>0.20410053390476887</v>
      </c>
      <c r="H16" s="7">
        <f t="shared" si="1"/>
        <v>5.8854195247763806E-3</v>
      </c>
      <c r="I16" s="7">
        <f t="shared" si="1"/>
        <v>2.3530579097597953E-2</v>
      </c>
      <c r="J16" s="7">
        <f t="shared" si="1"/>
        <v>1.667889785842951E-4</v>
      </c>
      <c r="K16" s="7">
        <f t="shared" si="1"/>
        <v>1.4621840753683536E-2</v>
      </c>
      <c r="L16" s="7">
        <v>0</v>
      </c>
      <c r="M16" s="7">
        <f t="shared" si="1"/>
        <v>3.614457831325301E-2</v>
      </c>
    </row>
    <row r="17" spans="2:13" x14ac:dyDescent="0.25">
      <c r="B17" s="23"/>
      <c r="C17" s="11" t="s">
        <v>7</v>
      </c>
      <c r="D17" s="7">
        <f t="shared" ref="D17:M23" si="2">D5/D$12</f>
        <v>5.1110145176257331E-5</v>
      </c>
      <c r="E17" s="7">
        <f t="shared" si="2"/>
        <v>0</v>
      </c>
      <c r="F17" s="7">
        <f t="shared" si="2"/>
        <v>0.95937035661218439</v>
      </c>
      <c r="G17" s="7">
        <f t="shared" si="2"/>
        <v>1.0832455598736064E-2</v>
      </c>
      <c r="H17" s="7">
        <f t="shared" si="2"/>
        <v>8.505734511331833E-4</v>
      </c>
      <c r="I17" s="7">
        <f t="shared" si="2"/>
        <v>3.1063656818190787E-4</v>
      </c>
      <c r="J17" s="7">
        <f t="shared" si="2"/>
        <v>0</v>
      </c>
      <c r="K17" s="7">
        <f t="shared" si="2"/>
        <v>6.9401548432057754E-4</v>
      </c>
      <c r="L17" s="7">
        <v>0</v>
      </c>
      <c r="M17" s="7">
        <f t="shared" si="2"/>
        <v>0</v>
      </c>
    </row>
    <row r="18" spans="2:13" x14ac:dyDescent="0.25">
      <c r="B18" s="23"/>
      <c r="C18" s="11" t="s">
        <v>6</v>
      </c>
      <c r="D18" s="7">
        <f t="shared" si="2"/>
        <v>7.5539856769679399E-4</v>
      </c>
      <c r="E18" s="7">
        <f t="shared" si="2"/>
        <v>0</v>
      </c>
      <c r="F18" s="7">
        <f t="shared" si="2"/>
        <v>6.0828380386329867E-3</v>
      </c>
      <c r="G18" s="7">
        <f t="shared" si="2"/>
        <v>0.24881051828714637</v>
      </c>
      <c r="H18" s="7">
        <f t="shared" si="2"/>
        <v>1.753278823464852E-2</v>
      </c>
      <c r="I18" s="7">
        <f t="shared" si="2"/>
        <v>4.7131065517254985E-4</v>
      </c>
      <c r="J18" s="7">
        <f t="shared" si="2"/>
        <v>1.3343118286743608E-4</v>
      </c>
      <c r="K18" s="7">
        <f t="shared" si="2"/>
        <v>3.5344394385097962E-2</v>
      </c>
      <c r="L18" s="7">
        <v>0</v>
      </c>
      <c r="M18" s="7">
        <f t="shared" si="2"/>
        <v>0</v>
      </c>
    </row>
    <row r="19" spans="2:13" x14ac:dyDescent="0.25">
      <c r="B19" s="23"/>
      <c r="C19" s="11" t="s">
        <v>5</v>
      </c>
      <c r="D19" s="7">
        <f t="shared" si="2"/>
        <v>2.5508182546682558E-4</v>
      </c>
      <c r="E19" s="7">
        <f t="shared" si="2"/>
        <v>0.46666666666666662</v>
      </c>
      <c r="F19" s="7">
        <f t="shared" si="2"/>
        <v>5.4791976225854388E-3</v>
      </c>
      <c r="G19" s="7">
        <f t="shared" si="2"/>
        <v>0.17160316710856066</v>
      </c>
      <c r="H19" s="7">
        <f t="shared" si="2"/>
        <v>0.79295395928222567</v>
      </c>
      <c r="I19" s="7">
        <f t="shared" si="2"/>
        <v>4.7074688644626689E-4</v>
      </c>
      <c r="J19" s="7">
        <f t="shared" si="2"/>
        <v>6.6715591433718041E-5</v>
      </c>
      <c r="K19" s="7">
        <f t="shared" si="2"/>
        <v>1.3448349841398745E-3</v>
      </c>
      <c r="L19" s="7">
        <v>0</v>
      </c>
      <c r="M19" s="7">
        <f t="shared" si="2"/>
        <v>0</v>
      </c>
    </row>
    <row r="20" spans="2:13" x14ac:dyDescent="0.25">
      <c r="B20" s="23"/>
      <c r="C20" s="11" t="s">
        <v>4</v>
      </c>
      <c r="D20" s="7">
        <f t="shared" si="2"/>
        <v>2.1162882405871761E-2</v>
      </c>
      <c r="E20" s="7">
        <f t="shared" si="2"/>
        <v>0.33333333333333326</v>
      </c>
      <c r="F20" s="7">
        <f t="shared" si="2"/>
        <v>9.7046805349182766E-3</v>
      </c>
      <c r="G20" s="7">
        <f t="shared" si="2"/>
        <v>3.3350888025278767E-2</v>
      </c>
      <c r="H20" s="7">
        <f t="shared" si="2"/>
        <v>7.9240520221697849E-2</v>
      </c>
      <c r="I20" s="7">
        <f t="shared" si="2"/>
        <v>0.9746941131833371</v>
      </c>
      <c r="J20" s="7">
        <f t="shared" si="2"/>
        <v>6.0044032290346237E-4</v>
      </c>
      <c r="K20" s="7">
        <f t="shared" si="2"/>
        <v>9.2295420217736559E-4</v>
      </c>
      <c r="L20" s="7">
        <v>0</v>
      </c>
      <c r="M20" s="7">
        <f t="shared" si="2"/>
        <v>0</v>
      </c>
    </row>
    <row r="21" spans="2:13" x14ac:dyDescent="0.25">
      <c r="B21" s="23"/>
      <c r="C21" s="11" t="s">
        <v>3</v>
      </c>
      <c r="D21" s="7">
        <f t="shared" si="2"/>
        <v>7.5024066313772223E-6</v>
      </c>
      <c r="E21" s="7">
        <f t="shared" si="2"/>
        <v>0</v>
      </c>
      <c r="F21" s="7">
        <f t="shared" si="2"/>
        <v>0</v>
      </c>
      <c r="G21" s="7">
        <f t="shared" si="2"/>
        <v>4.5400065376094152E-5</v>
      </c>
      <c r="H21" s="7">
        <f t="shared" si="2"/>
        <v>0</v>
      </c>
      <c r="I21" s="7">
        <f t="shared" si="2"/>
        <v>1.6574800552718858E-4</v>
      </c>
      <c r="J21" s="7">
        <f t="shared" si="2"/>
        <v>0.99886583494562664</v>
      </c>
      <c r="K21" s="7">
        <f t="shared" si="2"/>
        <v>1.627048749548242E-4</v>
      </c>
      <c r="L21" s="7">
        <v>0</v>
      </c>
      <c r="M21" s="7">
        <f t="shared" si="2"/>
        <v>0</v>
      </c>
    </row>
    <row r="22" spans="2:13" x14ac:dyDescent="0.25">
      <c r="B22" s="23"/>
      <c r="C22" s="11" t="s">
        <v>2</v>
      </c>
      <c r="D22" s="7">
        <f t="shared" si="2"/>
        <v>2.3083967403918792E-3</v>
      </c>
      <c r="E22" s="7">
        <f t="shared" si="2"/>
        <v>0</v>
      </c>
      <c r="F22" s="7">
        <f t="shared" si="2"/>
        <v>1.5276745913818723E-2</v>
      </c>
      <c r="G22" s="7">
        <f t="shared" si="2"/>
        <v>0.33106635673555379</v>
      </c>
      <c r="H22" s="7">
        <f t="shared" si="2"/>
        <v>0.10353673928551829</v>
      </c>
      <c r="I22" s="7">
        <f t="shared" si="2"/>
        <v>3.2585832379154761E-4</v>
      </c>
      <c r="J22" s="7">
        <f t="shared" si="2"/>
        <v>1.3343118286743608E-4</v>
      </c>
      <c r="K22" s="7">
        <f t="shared" si="2"/>
        <v>0.9468962965202754</v>
      </c>
      <c r="L22" s="7">
        <v>0</v>
      </c>
      <c r="M22" s="7">
        <f t="shared" si="2"/>
        <v>2.8112449799196786E-2</v>
      </c>
    </row>
    <row r="23" spans="2:13" x14ac:dyDescent="0.25">
      <c r="B23" s="23"/>
      <c r="C23" s="12" t="s">
        <v>1</v>
      </c>
      <c r="D23" s="7">
        <f t="shared" si="2"/>
        <v>0</v>
      </c>
      <c r="E23" s="7">
        <f t="shared" si="2"/>
        <v>0</v>
      </c>
      <c r="F23" s="7">
        <f t="shared" si="2"/>
        <v>0</v>
      </c>
      <c r="G23" s="7">
        <f t="shared" si="2"/>
        <v>1.9068027457959543E-4</v>
      </c>
      <c r="H23" s="7">
        <f t="shared" si="2"/>
        <v>0</v>
      </c>
      <c r="I23" s="7">
        <f t="shared" si="2"/>
        <v>3.1007279945562496E-5</v>
      </c>
      <c r="J23" s="7">
        <f t="shared" si="2"/>
        <v>3.335779571685902E-5</v>
      </c>
      <c r="K23" s="7">
        <f t="shared" si="2"/>
        <v>1.2958795350384228E-5</v>
      </c>
      <c r="L23" s="7">
        <v>0</v>
      </c>
      <c r="M23" s="7">
        <f t="shared" si="2"/>
        <v>0.93574297188755018</v>
      </c>
    </row>
  </sheetData>
  <mergeCells count="4">
    <mergeCell ref="D14:M14"/>
    <mergeCell ref="B16:B23"/>
    <mergeCell ref="B4:B11"/>
    <mergeCell ref="D2:M2"/>
  </mergeCells>
  <pageMargins left="0.511811024" right="0.511811024" top="0.78740157499999996" bottom="0.78740157499999996" header="0.31496062000000002" footer="0.31496062000000002"/>
  <ignoredErrors>
    <ignoredError sqref="L16:L23" calculatedColumn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transition_matrix2001-2006</vt:lpstr>
      <vt:lpstr>transition_matrix2006-2011</vt:lpstr>
      <vt:lpstr>transition_matrix2011-2016</vt:lpstr>
      <vt:lpstr>transition_matrix2016-2021</vt:lpstr>
      <vt:lpstr>transition_matrix2021-2022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Silva</dc:creator>
  <cp:lastModifiedBy>Danilo Silva</cp:lastModifiedBy>
  <dcterms:created xsi:type="dcterms:W3CDTF">2023-10-26T17:46:44Z</dcterms:created>
  <dcterms:modified xsi:type="dcterms:W3CDTF">2024-06-17T21:15:45Z</dcterms:modified>
</cp:coreProperties>
</file>